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mcguinness\Desktop\"/>
    </mc:Choice>
  </mc:AlternateContent>
  <bookViews>
    <workbookView xWindow="0" yWindow="0" windowWidth="19200" windowHeight="7050" tabRatio="611"/>
  </bookViews>
  <sheets>
    <sheet name="Summary" sheetId="1" r:id="rId1"/>
    <sheet name="The Mortgage Measures Framework" sheetId="2" r:id="rId2"/>
    <sheet name="New Lending Overview " sheetId="3" r:id="rId3"/>
    <sheet name="Volume and Value by Month" sheetId="5" r:id="rId4"/>
    <sheet name="FTB Lending" sheetId="6" r:id="rId5"/>
    <sheet name="FTB LTV and LTI Distributions" sheetId="7" r:id="rId6"/>
    <sheet name="SSB Lending" sheetId="8" r:id="rId7"/>
    <sheet name="SSB LTV and LTI Distribution" sheetId="9" r:id="rId8"/>
    <sheet name="BTL Lending" sheetId="12" r:id="rId9"/>
    <sheet name="Trend over time in LTV and LTI" sheetId="11" r:id="rId10"/>
    <sheet name="LTI Allowances" sheetId="14" r:id="rId11"/>
    <sheet name="Allocation of Allowances Chart " sheetId="18" r:id="rId12"/>
  </sheets>
  <definedNames>
    <definedName name="_xlnm.Print_Area" localSheetId="0">Summary!$B:$P</definedName>
    <definedName name="Z_41816220_B35C_45A9_9EE2_EC676D322318_.wvu.PrintArea" localSheetId="0" hidden="1">Summary!$B:$P</definedName>
  </definedNames>
  <calcPr calcId="162913"/>
  <customWorkbookViews>
    <customWorkbookView name="Kinghan, Christina - Personal View" guid="{41816220-B35C-45A9-9EE2-EC676D322318}" mergeInterval="0" personalView="1" maximized="1" xWindow="-9" yWindow="-9" windowWidth="1938" windowHeight="1048" activeSheetId="1"/>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2" i="7" l="1"/>
</calcChain>
</file>

<file path=xl/sharedStrings.xml><?xml version="1.0" encoding="utf-8"?>
<sst xmlns="http://schemas.openxmlformats.org/spreadsheetml/2006/main" count="358" uniqueCount="222">
  <si>
    <t xml:space="preserve">Table 1: Macroprudential Regulations for Mortgage Lending </t>
  </si>
  <si>
    <t>Allowances</t>
  </si>
  <si>
    <t xml:space="preserve">Exemptions </t>
  </si>
  <si>
    <t xml:space="preserve">From LTV Limit: </t>
  </si>
  <si>
    <t>Borrowers in negative equity</t>
  </si>
  <si>
    <t xml:space="preserve">From LTI Limit: </t>
  </si>
  <si>
    <t xml:space="preserve">From both limits: </t>
  </si>
  <si>
    <t xml:space="preserve">January </t>
  </si>
  <si>
    <t>February</t>
  </si>
  <si>
    <t>March</t>
  </si>
  <si>
    <t xml:space="preserve">April </t>
  </si>
  <si>
    <t>May</t>
  </si>
  <si>
    <t>June</t>
  </si>
  <si>
    <t>Total Lending</t>
  </si>
  <si>
    <t xml:space="preserve">In-Scope of Regulations </t>
  </si>
  <si>
    <t xml:space="preserve">of which: </t>
  </si>
  <si>
    <t xml:space="preserve">PDH Lending </t>
  </si>
  <si>
    <t xml:space="preserve">FTB Lending </t>
  </si>
  <si>
    <t>of which FTB over LTV Limit</t>
  </si>
  <si>
    <t xml:space="preserve">SSB Lending </t>
  </si>
  <si>
    <t>of which SSB over the LTV Limit</t>
  </si>
  <si>
    <t xml:space="preserve">BTL Lending </t>
  </si>
  <si>
    <t xml:space="preserve">BTL over the LTV Limit </t>
  </si>
  <si>
    <t xml:space="preserve">Exempt from Regulations </t>
  </si>
  <si>
    <t xml:space="preserve">Negative Equity </t>
  </si>
  <si>
    <t xml:space="preserve">Other Exemption </t>
  </si>
  <si>
    <t>Loan Size (€)</t>
  </si>
  <si>
    <t>Property Value (€)</t>
  </si>
  <si>
    <t>Loan-to-Value (%)</t>
  </si>
  <si>
    <t>Income (€)</t>
  </si>
  <si>
    <t>Loan-to-Income</t>
  </si>
  <si>
    <t>Loan Term (Years)</t>
  </si>
  <si>
    <t>Property Size (sq.ft)</t>
  </si>
  <si>
    <t>Interest Rate (%)</t>
  </si>
  <si>
    <t>Fixed (%)</t>
  </si>
  <si>
    <t xml:space="preserve">SVR (%) </t>
  </si>
  <si>
    <t xml:space="preserve">Other (%) </t>
  </si>
  <si>
    <t xml:space="preserve">Borrower Characteristics </t>
  </si>
  <si>
    <t xml:space="preserve">Loan Characteristics </t>
  </si>
  <si>
    <t>Borrower Age (Years)</t>
  </si>
  <si>
    <t xml:space="preserve">Joint Applicant (%) </t>
  </si>
  <si>
    <t xml:space="preserve">Salaried Employee (%) </t>
  </si>
  <si>
    <t xml:space="preserve">Region, of which: </t>
  </si>
  <si>
    <t xml:space="preserve">Interest Rate Type, of which: </t>
  </si>
  <si>
    <t>Dublin (%)</t>
  </si>
  <si>
    <t>Leinster (%)</t>
  </si>
  <si>
    <t>Munster (%)</t>
  </si>
  <si>
    <t>Ulster (%)</t>
  </si>
  <si>
    <t xml:space="preserve">Broker (%) </t>
  </si>
  <si>
    <t xml:space="preserve">Without </t>
  </si>
  <si>
    <t xml:space="preserve">With </t>
  </si>
  <si>
    <t xml:space="preserve">Dublin (%) </t>
  </si>
  <si>
    <t xml:space="preserve">First Time Buyers </t>
  </si>
  <si>
    <t xml:space="preserve">Second and Subsequent Buyers </t>
  </si>
  <si>
    <t>&gt; 0.75 - 1</t>
  </si>
  <si>
    <t>&gt; 1- 1.25</t>
  </si>
  <si>
    <t>&gt;1.25 -1.5</t>
  </si>
  <si>
    <t>&gt;1.5-1.75</t>
  </si>
  <si>
    <t>&gt;1.75-2</t>
  </si>
  <si>
    <t>&gt; 2- 2.25</t>
  </si>
  <si>
    <t>&gt;2.25 -2.5</t>
  </si>
  <si>
    <t>&gt;2.5-2.75</t>
  </si>
  <si>
    <t>&gt;2.75-3</t>
  </si>
  <si>
    <t>&gt; 3- 3.25</t>
  </si>
  <si>
    <t>&gt;3.25 -3.5</t>
  </si>
  <si>
    <t>&gt;3.5-3.75</t>
  </si>
  <si>
    <t>&gt;3.75-4</t>
  </si>
  <si>
    <t>&gt; 4- 4.25</t>
  </si>
  <si>
    <t>LTI FTB P10</t>
  </si>
  <si>
    <t>LTI FTB P25</t>
  </si>
  <si>
    <t>LTI FTB Median</t>
  </si>
  <si>
    <t>LTI FTB P75</t>
  </si>
  <si>
    <t xml:space="preserve">LTI FTB P90 </t>
  </si>
  <si>
    <t>LTV FTB P10</t>
  </si>
  <si>
    <t>LTV FTB P25</t>
  </si>
  <si>
    <t>LTV FTB Median</t>
  </si>
  <si>
    <t>LTV FTB P75</t>
  </si>
  <si>
    <t xml:space="preserve">LTV FTB P90 </t>
  </si>
  <si>
    <t>LTI SSB P10</t>
  </si>
  <si>
    <t>LTI SSB P25</t>
  </si>
  <si>
    <t>LTI SSB Median</t>
  </si>
  <si>
    <t>LTI SSB P75</t>
  </si>
  <si>
    <t xml:space="preserve">LTI SSB P90 </t>
  </si>
  <si>
    <t>LTV SSB P10</t>
  </si>
  <si>
    <t>LTV SSB P25</t>
  </si>
  <si>
    <t>LTV SSB Median</t>
  </si>
  <si>
    <t>LTV SSB P75</t>
  </si>
  <si>
    <t xml:space="preserve">LTV SSB P90 </t>
  </si>
  <si>
    <t xml:space="preserve">FTB LTI over Time </t>
  </si>
  <si>
    <t xml:space="preserve">FTB LTV over Time </t>
  </si>
  <si>
    <t xml:space="preserve">SSB LTI over Time </t>
  </si>
  <si>
    <t xml:space="preserve">SSB LTV over Time </t>
  </si>
  <si>
    <t xml:space="preserve">Figure 6: Trend over Time in LTI for FTBs  </t>
  </si>
  <si>
    <t xml:space="preserve">Figure 7: Trend over Time in LTV for FTBs  </t>
  </si>
  <si>
    <t xml:space="preserve">Figure 8: Trend over Time in LTI for SSBs  </t>
  </si>
  <si>
    <t xml:space="preserve">Figure 9: Trend over Time in LTV for SSBs  </t>
  </si>
  <si>
    <t>17-18</t>
  </si>
  <si>
    <t>19-20</t>
  </si>
  <si>
    <t>21-22</t>
  </si>
  <si>
    <t>23-24</t>
  </si>
  <si>
    <t>25-26</t>
  </si>
  <si>
    <t>27-28</t>
  </si>
  <si>
    <t>29-30</t>
  </si>
  <si>
    <t>31-32</t>
  </si>
  <si>
    <t>33-34</t>
  </si>
  <si>
    <t>35-36</t>
  </si>
  <si>
    <t>37-38</t>
  </si>
  <si>
    <t>39-40</t>
  </si>
  <si>
    <t>41-42</t>
  </si>
  <si>
    <t>43-44</t>
  </si>
  <si>
    <t>45-46</t>
  </si>
  <si>
    <t>47-48</t>
  </si>
  <si>
    <t>49-50</t>
  </si>
  <si>
    <t>51-52</t>
  </si>
  <si>
    <t>53-54</t>
  </si>
  <si>
    <t>55-56</t>
  </si>
  <si>
    <t>57-58</t>
  </si>
  <si>
    <t>59-60</t>
  </si>
  <si>
    <t>61-62</t>
  </si>
  <si>
    <t>63-64</t>
  </si>
  <si>
    <t>65-66</t>
  </si>
  <si>
    <t>67-68</t>
  </si>
  <si>
    <t>71-72</t>
  </si>
  <si>
    <t>73-74</t>
  </si>
  <si>
    <t>75-76</t>
  </si>
  <si>
    <t>77-78</t>
  </si>
  <si>
    <t>79-80</t>
  </si>
  <si>
    <t>LTV</t>
  </si>
  <si>
    <t>81-82</t>
  </si>
  <si>
    <t>83-84</t>
  </si>
  <si>
    <t>85-86</t>
  </si>
  <si>
    <t>87-88</t>
  </si>
  <si>
    <t xml:space="preserve">LTI </t>
  </si>
  <si>
    <t>of which FTB over LTI Limit*</t>
  </si>
  <si>
    <t>of which SSB over the LTI Limit *</t>
  </si>
  <si>
    <t xml:space="preserve">Where multiple loans are originated on the same date to the same borrower(s), we count these as one single loan on this date. </t>
  </si>
  <si>
    <t xml:space="preserve">The balances of such loans are aggregated and a weighted interest rate applied. For all loans, LTV and LTI are reported at facility level </t>
  </si>
  <si>
    <t xml:space="preserve">Restructuring of mortgages in arrears </t>
  </si>
  <si>
    <t>Refinance mortgages (with no increase in capital)</t>
  </si>
  <si>
    <t xml:space="preserve">Refinance </t>
  </si>
  <si>
    <t xml:space="preserve">Connacht (%) </t>
  </si>
  <si>
    <t>Where multiple loans are originated on the same date to the same borrower(s), we count these as one single 'housing loan' on this date. The individual amounts advanced are aggregated together.</t>
  </si>
  <si>
    <t xml:space="preserve">&gt;90 </t>
  </si>
  <si>
    <t>15-16</t>
  </si>
  <si>
    <t xml:space="preserve">69-70 </t>
  </si>
  <si>
    <t>&gt;4.25 -4.5</t>
  </si>
  <si>
    <t>0.25-0.5</t>
  </si>
  <si>
    <t>&gt;0.5-0.75</t>
  </si>
  <si>
    <t>&gt;4.5</t>
  </si>
  <si>
    <t>BTL borrowers and Lifetime Mortgages</t>
  </si>
  <si>
    <t xml:space="preserve">Where multiple loans are originated on the same date to the same borrower(s), we count these as one single 'housing loan' on this date. The individual amounts advanced are aggregated together and a weighted interest rate applied. For all loans, LTV and LTI are reported at facility level . </t>
  </si>
  <si>
    <t>&gt;3.25-3.5</t>
  </si>
  <si>
    <t>89-90</t>
  </si>
  <si>
    <t xml:space="preserve">FTB Allowance Lending </t>
  </si>
  <si>
    <t xml:space="preserve">SSB Allowance Lending </t>
  </si>
  <si>
    <t xml:space="preserve">LTV limit </t>
  </si>
  <si>
    <t xml:space="preserve">LTI Limit </t>
  </si>
  <si>
    <t xml:space="preserve">LTV Limit </t>
  </si>
  <si>
    <t xml:space="preserve">15% of total FTB lending allowed above the LTV/LTI limit </t>
  </si>
  <si>
    <t xml:space="preserve">3.5 times income </t>
  </si>
  <si>
    <t>4 times income</t>
  </si>
  <si>
    <t xml:space="preserve">15% of total SSB lending allowed above the LTV/LTI limit </t>
  </si>
  <si>
    <t>First Time Buyers (FTB)</t>
  </si>
  <si>
    <t>Second and Subsequent Buyers (SSB)</t>
  </si>
  <si>
    <t>Buy-to-Let (BTL)</t>
  </si>
  <si>
    <t xml:space="preserve">10% of total BTL lending allowed above the LTV/LTI limit </t>
  </si>
  <si>
    <t>Note: In-Scope Lending excludes negative equity loans which are in-scope for LTI purposes only. These are included in calcuation of SSB over the LTI limit</t>
  </si>
  <si>
    <t>Click here for information on the mortgage measures framework</t>
  </si>
  <si>
    <t>Table 2: Overview of New Mortgage Lending, 1st January -30th June 2024</t>
  </si>
  <si>
    <t>Total Value 2024 H1 (€M)</t>
  </si>
  <si>
    <t>No. of Loans 2024 H1</t>
  </si>
  <si>
    <t>% Value 2024 H1</t>
  </si>
  <si>
    <t>Total Value 2023 H1 (€M)</t>
  </si>
  <si>
    <t>The overview represents lending that took place in 2024 H1. As such allowance lending includes lending originated in H1 2024 but approved in (H2) 2023 and which under the carry-over system allowed for in the measures is allocated to 2023 for compliance purposes. The framework review amended the definition of FTB. This may result in differences in the categorisation of certain loan types. The Central Bank continues to work to ensure the correct classification of loans in line with the new elements of the definition. Small amendments to the share of FTB and SSB lending may occur in subsequent publications if there are changes to the underlying sample of loans.</t>
  </si>
  <si>
    <t>Figure 1: Monthly Lending by Count and Balance in  H1 2023 and H1 2024</t>
  </si>
  <si>
    <t>2023 H1 Balance (€M)</t>
  </si>
  <si>
    <t>2024 H1 Balance (€M)</t>
  </si>
  <si>
    <t>Table 3: Mean Loan Characteristics for FTBs In-Scope H1 2023 v H1 2024</t>
  </si>
  <si>
    <t>H1 2023</t>
  </si>
  <si>
    <t>H1 2024</t>
  </si>
  <si>
    <t>Table 4: Mean Loan Characteristics for SSBs In-Scope H1 2023 vs H1 2024</t>
  </si>
  <si>
    <t xml:space="preserve">Table 5: Mean Loan Characteristics for BTLs In-Scope H1 2023 vs H1 2024 </t>
  </si>
  <si>
    <t>Figure 10: Allocation of Allowances by Borrower Type, 2024 H1</t>
  </si>
  <si>
    <t>Figure 2: LTV distribution for FTBs in H1 2023 vs H1 2024</t>
  </si>
  <si>
    <t xml:space="preserve">2024 H1 </t>
  </si>
  <si>
    <t>A total of 18,131 loans were originated by these institutions in H1 2024, with a value of €5.2 billion.</t>
  </si>
  <si>
    <t>This file provides an overview of new mortgage lending in Ireland for H1 2024 by the institutions reporting loan-by-loan data to the Central Bank of Ireland as part of the macroprudential mortgage measures.</t>
  </si>
  <si>
    <t>Macroprudential Measures and Irish Mortgage Lending: An Overview of New Lending in H1 2024</t>
  </si>
  <si>
    <t>% Value 2023 H1</t>
  </si>
  <si>
    <t>In H1 2024 the share of FTB lending, by value, with an allowance was 5 per cent. The corresponding figure for SSB lending was 8 per cent, having increased from 6 per cent in H1 2023. Essentially all allowance lending related to the LTI limits.</t>
  </si>
  <si>
    <t>The average LTI for FTBs with an allowance was 4.4 in H1 2024, compared to 3.3 for those without an allowance. For SSBs with an LTI allowance, the average LTI was 3.9 compared to 2.6 for those without an allowance.</t>
  </si>
  <si>
    <t xml:space="preserve">H1 2023 figures may differ from previous published data. This is due to changes in the underlying sample </t>
  </si>
  <si>
    <t>2023 H1 Count</t>
  </si>
  <si>
    <t>2024 H1 Count</t>
  </si>
  <si>
    <t xml:space="preserve">Sample used is all new property purchase/self-build loans in-scope of the mortgage measures. </t>
  </si>
  <si>
    <t>Table 6: Mean Loan Characteristics for FTBs and SSBs with and without an LTI Allowance in H1 2024</t>
  </si>
  <si>
    <t>Note: Authors Calculations using Central Bank of Ireland Data.  Sample used is all new in-scope property purchase/self-build loans.</t>
  </si>
  <si>
    <t xml:space="preserve">Sample used is all in-scope new property purchase/self-build PDH loans with and without an LTI allowance </t>
  </si>
  <si>
    <t>Note: Data from 2006 - 2014 covers all mortgage agreements originated by retail banks since 2006 except split mortgages. Data from 2015-2024 includes in-scope property purchase/self-build loans and topup/equity release loans. Data Source: Loan-Level Data (LLD) from 2006-2014 and Monitoring Templates Data (MT) from 2015-2024 H1</t>
  </si>
  <si>
    <t>Share of Loans H1 2023 (%)</t>
  </si>
  <si>
    <t>FTB LTV H1 2023 vs H1 2024</t>
  </si>
  <si>
    <t>Share of Loans H1 2024 (%)</t>
  </si>
  <si>
    <t xml:space="preserve"> Sample used is new in-scope property purchase/self-build loans only </t>
  </si>
  <si>
    <t>FTB LTI H1 2023 vs H1 2024</t>
  </si>
  <si>
    <t>Figure 3: LTI distribution for FTBs in H1 2023 vs H1 2024</t>
  </si>
  <si>
    <t>Figure 4: LTV distribution for SSBs in H1 2023 vs H1 2024</t>
  </si>
  <si>
    <t>Figure 5: LTI distribution for SSBs in H1 2023 vs H1 2024</t>
  </si>
  <si>
    <t xml:space="preserve">SSB LTI H1 2023 vs H1 2024 </t>
  </si>
  <si>
    <t>SSB LTV H1 2023vs H1 2024</t>
  </si>
  <si>
    <t>Note: LTV&lt;15 removed. Share of number of loans.</t>
  </si>
  <si>
    <t>Note: loans with LTI&lt;0.25 are removed. Share of number of loans</t>
  </si>
  <si>
    <t>Note: LTV&lt;15 removed. Share of number of loans</t>
  </si>
  <si>
    <t xml:space="preserve"> Sample used is new in-scope property purchase/self-build loans only. Share of number of loans.  </t>
  </si>
  <si>
    <t>The average FTB interest rate increased from 3.5 per cent in H1 2023 to 4.2 per cent in H1 2024. For SSB lending, the average interest rate was 4.1per cent in H1 2024, compared to 3.4per cent in H1 2023. Average incomes, loan sizes and property values increased for both FTB and SSB borrowers.</t>
  </si>
  <si>
    <t>Four lending institutions submitted data to the Central Bank of Ireland on new lending in H1 2024. These were: Allied Irish Banks (AIB, including the Educational Building Society (EBS)), Bank of Ireland (BoI), Permanent TSB (PTSB) and Avant Money.</t>
  </si>
  <si>
    <t>The majority of H1 2024 lending (94 per cent) was in-scope of the mortgage measures. The remaining 6 per cent of loans  were refinances without an increase in capital which are exempt from the regulations.</t>
  </si>
  <si>
    <t>Shares of SSB loans with an LTV between 89-90 per cent increased from 12.2 per cent in H1 2023 to 17.3 per cent in H1 2024.</t>
  </si>
  <si>
    <t>SSBs with an LTI allowance had higher average loan sizes and property values than those without an allowance. They had longer loan terms, were younger on average and more likely to be joint applicants and purchasing in Dublin.</t>
  </si>
  <si>
    <t>For FTBs, borrowers with an LTI allowance were more likely to be purchasing property in Dublin, had a higher average loan size, property value and income along with a longer term. These borrowers were younger and more likely to be single applicants.</t>
  </si>
  <si>
    <t xml:space="preserve">The share of FTB loans with an LTI between 3.5 and 4  increased in H1 2024. In H1 2024, the largest share of loans (32.2 per cent) had an LTI  between 3.75 and 4 times income up from 16.7 per cent of loans in H1 2023. </t>
  </si>
  <si>
    <t>The average FTB LTI was 3.4 in H1 2024, a marginal increase on the average in H1 2023 of 3.3. Average FTB LTV fell from 80.5 in H1 2023 to 79.7 in H1 2024.</t>
  </si>
  <si>
    <t>The average SSB LTV and LTI were essentially unchanged from H1 2023 at approximately 66 per cent and 2.7 times gross income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</si>
</sst>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0.0"/>
    <numFmt numFmtId="166" formatCode="0.0"/>
    <numFmt numFmtId="167" formatCode="_-* #,##0.0_-;\-* #,##0.0_-;_-* &quot;-&quot;??_-;_-@_-"/>
    <numFmt numFmtId="168" formatCode="0.00000000000000"/>
    <numFmt numFmtId="169" formatCode="#,##0.0_ ;\-#,##0.0\ "/>
  </numFmts>
  <fonts count="21" x14ac:knownFonts="1">
    <font>
      <sz val="11"/>
      <color theme="1"/>
      <name val="Lato"/>
      <family val="2"/>
      <scheme val="minor"/>
    </font>
    <font>
      <sz val="11"/>
      <color theme="1"/>
      <name val="Lato"/>
      <family val="2"/>
    </font>
    <font>
      <b/>
      <sz val="11"/>
      <color rgb="FF009999"/>
      <name val="Lato"/>
      <family val="2"/>
    </font>
    <font>
      <i/>
      <sz val="11"/>
      <color theme="1"/>
      <name val="Lato"/>
      <family val="2"/>
    </font>
    <font>
      <b/>
      <sz val="11"/>
      <color theme="1"/>
      <name val="Lato"/>
      <family val="2"/>
    </font>
    <font>
      <sz val="10"/>
      <color rgb="FF009999"/>
      <name val="Lato"/>
      <family val="2"/>
    </font>
    <font>
      <sz val="11"/>
      <name val="Lato"/>
      <family val="2"/>
    </font>
    <font>
      <u/>
      <sz val="11"/>
      <color theme="10"/>
      <name val="Lato"/>
      <family val="2"/>
      <scheme val="minor"/>
    </font>
    <font>
      <sz val="11"/>
      <color theme="1"/>
      <name val="Times New Roman"/>
      <family val="2"/>
    </font>
    <font>
      <sz val="11"/>
      <color theme="1"/>
      <name val="Lato"/>
      <family val="2"/>
      <scheme val="minor"/>
    </font>
    <font>
      <i/>
      <sz val="11"/>
      <color theme="1"/>
      <name val="Calibri"/>
      <family val="2"/>
    </font>
    <font>
      <b/>
      <sz val="9"/>
      <color rgb="FF009999"/>
      <name val="Lato"/>
      <family val="2"/>
    </font>
    <font>
      <sz val="9"/>
      <color theme="1"/>
      <name val="Lato"/>
      <family val="2"/>
    </font>
    <font>
      <b/>
      <sz val="9"/>
      <color theme="1"/>
      <name val="Lato"/>
      <family val="2"/>
    </font>
    <font>
      <i/>
      <sz val="9"/>
      <color theme="1"/>
      <name val="Lato"/>
      <family val="2"/>
    </font>
    <font>
      <sz val="9"/>
      <color rgb="FF009999"/>
      <name val="Lato"/>
      <family val="2"/>
    </font>
    <font>
      <u/>
      <sz val="9"/>
      <color theme="10"/>
      <name val="Lato"/>
      <family val="2"/>
      <scheme val="minor"/>
    </font>
    <font>
      <sz val="9"/>
      <color theme="1"/>
      <name val="Lato"/>
      <family val="2"/>
      <scheme val="minor"/>
    </font>
    <font>
      <sz val="9"/>
      <color rgb="FFFF0000"/>
      <name val="Lato"/>
      <family val="2"/>
    </font>
    <font>
      <sz val="9"/>
      <name val="Lato"/>
      <family val="2"/>
    </font>
    <font>
      <b/>
      <sz val="9"/>
      <color rgb="FF009999"/>
      <name val="Lato"/>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7" fillId="0" borderId="0" applyNumberFormat="0" applyFill="0" applyBorder="0" applyAlignment="0" applyProtection="0"/>
    <xf numFmtId="0" fontId="8" fillId="0" borderId="0"/>
    <xf numFmtId="164" fontId="9" fillId="0" borderId="0" applyFont="0" applyFill="0" applyBorder="0" applyAlignment="0" applyProtection="0"/>
  </cellStyleXfs>
  <cellXfs count="199">
    <xf numFmtId="0" fontId="0" fillId="0" borderId="0" xfId="0"/>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0" borderId="0" xfId="0" applyFont="1"/>
    <xf numFmtId="0" fontId="1" fillId="2" borderId="5" xfId="0" applyFont="1" applyFill="1" applyBorder="1"/>
    <xf numFmtId="0" fontId="1" fillId="2" borderId="0" xfId="0" applyFont="1" applyFill="1" applyBorder="1"/>
    <xf numFmtId="0" fontId="1" fillId="2" borderId="6" xfId="0" applyFont="1" applyFill="1" applyBorder="1"/>
    <xf numFmtId="0" fontId="1" fillId="2" borderId="7" xfId="0" applyFont="1" applyFill="1" applyBorder="1"/>
    <xf numFmtId="0" fontId="2" fillId="2" borderId="1" xfId="0" applyFont="1" applyFill="1" applyBorder="1" applyAlignment="1">
      <alignment horizontal="center"/>
    </xf>
    <xf numFmtId="0" fontId="1" fillId="2" borderId="2" xfId="0" applyFont="1" applyFill="1" applyBorder="1"/>
    <xf numFmtId="0" fontId="1" fillId="2" borderId="3" xfId="0" applyFont="1" applyFill="1" applyBorder="1"/>
    <xf numFmtId="0" fontId="1" fillId="2" borderId="8" xfId="0" applyFont="1" applyFill="1" applyBorder="1"/>
    <xf numFmtId="166" fontId="1" fillId="2" borderId="6" xfId="0" applyNumberFormat="1" applyFont="1" applyFill="1" applyBorder="1" applyAlignment="1">
      <alignment horizontal="center"/>
    </xf>
    <xf numFmtId="0" fontId="1" fillId="2" borderId="15" xfId="0" applyFont="1" applyFill="1" applyBorder="1" applyAlignment="1">
      <alignment horizontal="center"/>
    </xf>
    <xf numFmtId="0" fontId="1" fillId="0" borderId="0" xfId="0" applyFont="1" applyFill="1" applyBorder="1" applyAlignment="1">
      <alignment horizontal="center"/>
    </xf>
    <xf numFmtId="0" fontId="1" fillId="0" borderId="0" xfId="0" applyFont="1" applyFill="1"/>
    <xf numFmtId="0" fontId="1" fillId="0" borderId="0" xfId="0" applyFont="1" applyAlignment="1">
      <alignment horizontal="center"/>
    </xf>
    <xf numFmtId="0" fontId="1" fillId="2" borderId="4" xfId="0" applyFont="1" applyFill="1" applyBorder="1"/>
    <xf numFmtId="0" fontId="1" fillId="2" borderId="9" xfId="0" applyFont="1" applyFill="1" applyBorder="1"/>
    <xf numFmtId="0" fontId="1" fillId="0" borderId="0" xfId="0" applyFont="1" applyFill="1" applyBorder="1"/>
    <xf numFmtId="0" fontId="5" fillId="0" borderId="0" xfId="0" applyFont="1" applyBorder="1" applyAlignment="1">
      <alignment wrapText="1"/>
    </xf>
    <xf numFmtId="3" fontId="1" fillId="0" borderId="0" xfId="0" applyNumberFormat="1" applyFont="1"/>
    <xf numFmtId="166" fontId="1" fillId="0" borderId="0" xfId="0" applyNumberFormat="1" applyFont="1" applyFill="1"/>
    <xf numFmtId="1" fontId="1" fillId="0" borderId="0" xfId="0" applyNumberFormat="1" applyFont="1"/>
    <xf numFmtId="3" fontId="1" fillId="0" borderId="0" xfId="0" applyNumberFormat="1" applyFont="1" applyFill="1"/>
    <xf numFmtId="2" fontId="1" fillId="0" borderId="0" xfId="0" applyNumberFormat="1" applyFont="1" applyFill="1"/>
    <xf numFmtId="0" fontId="2" fillId="2" borderId="13" xfId="0" applyFont="1" applyFill="1" applyBorder="1" applyAlignment="1">
      <alignment horizontal="center"/>
    </xf>
    <xf numFmtId="0" fontId="5" fillId="2" borderId="7" xfId="0" applyFont="1" applyFill="1" applyBorder="1"/>
    <xf numFmtId="16" fontId="1" fillId="2" borderId="14" xfId="0" applyNumberFormat="1" applyFont="1" applyFill="1" applyBorder="1" applyAlignment="1">
      <alignment horizontal="center"/>
    </xf>
    <xf numFmtId="166" fontId="1" fillId="2" borderId="3" xfId="0" applyNumberFormat="1" applyFont="1" applyFill="1" applyBorder="1"/>
    <xf numFmtId="166" fontId="1" fillId="2" borderId="4" xfId="0" applyNumberFormat="1" applyFont="1" applyFill="1" applyBorder="1"/>
    <xf numFmtId="0" fontId="6" fillId="2" borderId="14" xfId="0" applyFont="1" applyFill="1" applyBorder="1" applyAlignment="1">
      <alignment horizontal="center"/>
    </xf>
    <xf numFmtId="3" fontId="5" fillId="0" borderId="0" xfId="0" applyNumberFormat="1" applyFont="1" applyBorder="1" applyAlignment="1">
      <alignment wrapText="1"/>
    </xf>
    <xf numFmtId="166" fontId="1" fillId="0" borderId="0" xfId="0" applyNumberFormat="1" applyFont="1"/>
    <xf numFmtId="0" fontId="1" fillId="0" borderId="0" xfId="0" applyFont="1" applyBorder="1"/>
    <xf numFmtId="167" fontId="1" fillId="0" borderId="0" xfId="0" applyNumberFormat="1" applyFont="1"/>
    <xf numFmtId="0" fontId="1" fillId="0" borderId="0" xfId="0" applyNumberFormat="1" applyFont="1" applyAlignment="1">
      <alignment horizontal="right"/>
    </xf>
    <xf numFmtId="49" fontId="1" fillId="0" borderId="0" xfId="0" applyNumberFormat="1" applyFont="1" applyAlignment="1">
      <alignment horizontal="right"/>
    </xf>
    <xf numFmtId="0" fontId="1" fillId="0" borderId="0" xfId="0"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horizontal="right"/>
    </xf>
    <xf numFmtId="0" fontId="1" fillId="0" borderId="0" xfId="0" applyFont="1" applyFill="1" applyAlignment="1">
      <alignment horizontal="center"/>
    </xf>
    <xf numFmtId="0" fontId="2" fillId="2" borderId="12" xfId="0" applyFont="1" applyFill="1" applyBorder="1" applyAlignment="1">
      <alignment horizontal="center"/>
    </xf>
    <xf numFmtId="0" fontId="4" fillId="0" borderId="0" xfId="0" applyFont="1" applyFill="1" applyBorder="1"/>
    <xf numFmtId="168" fontId="1" fillId="0" borderId="0" xfId="0" applyNumberFormat="1" applyFont="1" applyFill="1"/>
    <xf numFmtId="0" fontId="5" fillId="0" borderId="2" xfId="0" applyFont="1" applyFill="1" applyBorder="1"/>
    <xf numFmtId="166" fontId="1" fillId="0" borderId="0" xfId="0" applyNumberFormat="1" applyFont="1" applyFill="1" applyBorder="1" applyAlignment="1">
      <alignment horizontal="center"/>
    </xf>
    <xf numFmtId="3" fontId="1" fillId="0" borderId="0" xfId="0" applyNumberFormat="1" applyFont="1" applyAlignment="1">
      <alignment horizontal="right"/>
    </xf>
    <xf numFmtId="0" fontId="10" fillId="0" borderId="0" xfId="0" applyFont="1" applyAlignment="1">
      <alignment vertical="center"/>
    </xf>
    <xf numFmtId="3" fontId="1" fillId="0" borderId="0" xfId="0" applyNumberFormat="1" applyFont="1" applyFill="1" applyBorder="1" applyAlignment="1">
      <alignment horizontal="center"/>
    </xf>
    <xf numFmtId="0" fontId="11" fillId="2" borderId="13" xfId="0" applyFont="1" applyFill="1" applyBorder="1"/>
    <xf numFmtId="0" fontId="11" fillId="2" borderId="13" xfId="0" applyFont="1" applyFill="1" applyBorder="1" applyAlignment="1">
      <alignment horizontal="center"/>
    </xf>
    <xf numFmtId="0" fontId="12" fillId="2" borderId="13" xfId="0" applyFont="1" applyFill="1" applyBorder="1"/>
    <xf numFmtId="3" fontId="12" fillId="2" borderId="13" xfId="0" applyNumberFormat="1" applyFont="1" applyFill="1" applyBorder="1" applyAlignment="1">
      <alignment horizontal="center"/>
    </xf>
    <xf numFmtId="3" fontId="12" fillId="2" borderId="4" xfId="0" applyNumberFormat="1" applyFont="1" applyFill="1" applyBorder="1" applyAlignment="1">
      <alignment horizontal="center"/>
    </xf>
    <xf numFmtId="0" fontId="12" fillId="2" borderId="14" xfId="0" applyFont="1" applyFill="1" applyBorder="1"/>
    <xf numFmtId="3" fontId="12" fillId="2" borderId="14" xfId="0" applyNumberFormat="1" applyFont="1" applyFill="1" applyBorder="1" applyAlignment="1">
      <alignment horizontal="center"/>
    </xf>
    <xf numFmtId="3" fontId="12" fillId="2" borderId="6" xfId="0" applyNumberFormat="1" applyFont="1" applyFill="1" applyBorder="1" applyAlignment="1">
      <alignment horizontal="center"/>
    </xf>
    <xf numFmtId="0" fontId="12" fillId="2" borderId="15" xfId="0" applyFont="1" applyFill="1" applyBorder="1"/>
    <xf numFmtId="3" fontId="12" fillId="2" borderId="15" xfId="0" applyNumberFormat="1" applyFont="1" applyFill="1" applyBorder="1" applyAlignment="1">
      <alignment horizontal="center"/>
    </xf>
    <xf numFmtId="3" fontId="12" fillId="2" borderId="9" xfId="0" applyNumberFormat="1" applyFont="1" applyFill="1" applyBorder="1" applyAlignment="1">
      <alignment horizontal="center"/>
    </xf>
    <xf numFmtId="0" fontId="12" fillId="2" borderId="2" xfId="0" applyFont="1" applyFill="1" applyBorder="1"/>
    <xf numFmtId="0" fontId="11" fillId="2" borderId="1" xfId="0" applyFont="1" applyFill="1" applyBorder="1" applyAlignment="1">
      <alignment horizontal="center"/>
    </xf>
    <xf numFmtId="0" fontId="13" fillId="2" borderId="2" xfId="0" applyFont="1" applyFill="1" applyBorder="1"/>
    <xf numFmtId="166" fontId="12" fillId="2" borderId="14" xfId="0" applyNumberFormat="1" applyFont="1" applyFill="1" applyBorder="1" applyAlignment="1">
      <alignment horizontal="center" vertical="center"/>
    </xf>
    <xf numFmtId="0" fontId="12" fillId="2" borderId="5" xfId="0" applyFont="1" applyFill="1" applyBorder="1"/>
    <xf numFmtId="3" fontId="12" fillId="2" borderId="14" xfId="3" applyNumberFormat="1" applyFont="1" applyFill="1" applyBorder="1" applyAlignment="1">
      <alignment horizontal="center" vertical="center"/>
    </xf>
    <xf numFmtId="166" fontId="12" fillId="2" borderId="14" xfId="3" applyNumberFormat="1" applyFont="1" applyFill="1" applyBorder="1" applyAlignment="1">
      <alignment horizontal="center" vertical="center"/>
    </xf>
    <xf numFmtId="0" fontId="14" fillId="2" borderId="5" xfId="0" applyFont="1" applyFill="1" applyBorder="1"/>
    <xf numFmtId="0" fontId="13" fillId="2" borderId="5" xfId="0" applyFont="1" applyFill="1" applyBorder="1"/>
    <xf numFmtId="0" fontId="15" fillId="2" borderId="2" xfId="0" applyFont="1" applyFill="1" applyBorder="1"/>
    <xf numFmtId="0" fontId="12" fillId="2" borderId="3" xfId="0" applyFont="1" applyFill="1" applyBorder="1"/>
    <xf numFmtId="0" fontId="12" fillId="2" borderId="4" xfId="0" applyFont="1" applyFill="1" applyBorder="1"/>
    <xf numFmtId="0" fontId="15" fillId="2" borderId="7" xfId="0" applyFont="1" applyFill="1" applyBorder="1"/>
    <xf numFmtId="0" fontId="12" fillId="2" borderId="8" xfId="0" applyFont="1" applyFill="1" applyBorder="1"/>
    <xf numFmtId="0" fontId="12" fillId="2" borderId="9" xfId="0" applyFont="1" applyFill="1" applyBorder="1"/>
    <xf numFmtId="3" fontId="12" fillId="0" borderId="14" xfId="0" applyNumberFormat="1" applyFont="1" applyFill="1" applyBorder="1" applyAlignment="1">
      <alignment horizontal="center"/>
    </xf>
    <xf numFmtId="0" fontId="12" fillId="2" borderId="10" xfId="0" applyFont="1" applyFill="1" applyBorder="1"/>
    <xf numFmtId="0" fontId="11" fillId="2" borderId="12" xfId="0" applyFont="1" applyFill="1" applyBorder="1" applyAlignment="1">
      <alignment horizontal="center"/>
    </xf>
    <xf numFmtId="0" fontId="14" fillId="2" borderId="14" xfId="0" applyFont="1" applyFill="1" applyBorder="1"/>
    <xf numFmtId="0" fontId="13" fillId="2" borderId="14" xfId="0" applyFont="1" applyFill="1" applyBorder="1"/>
    <xf numFmtId="0" fontId="12" fillId="0" borderId="0" xfId="0" applyFont="1"/>
    <xf numFmtId="0" fontId="12" fillId="0" borderId="0" xfId="0" applyFont="1" applyFill="1"/>
    <xf numFmtId="0" fontId="12" fillId="2" borderId="0" xfId="0" applyFont="1" applyFill="1" applyBorder="1"/>
    <xf numFmtId="0" fontId="12" fillId="2" borderId="6" xfId="0" applyFont="1" applyFill="1" applyBorder="1"/>
    <xf numFmtId="0" fontId="11" fillId="0" borderId="1" xfId="0" applyFont="1" applyBorder="1" applyAlignment="1">
      <alignment horizontal="left" vertical="center"/>
    </xf>
    <xf numFmtId="9" fontId="12" fillId="2" borderId="13" xfId="0" applyNumberFormat="1" applyFont="1" applyFill="1" applyBorder="1" applyAlignment="1">
      <alignment horizontal="center"/>
    </xf>
    <xf numFmtId="0" fontId="12" fillId="2" borderId="13" xfId="0" applyFont="1" applyFill="1" applyBorder="1" applyAlignment="1">
      <alignment horizontal="left"/>
    </xf>
    <xf numFmtId="0" fontId="12" fillId="2" borderId="14" xfId="0" applyFont="1" applyFill="1" applyBorder="1" applyAlignment="1">
      <alignment horizontal="center"/>
    </xf>
    <xf numFmtId="0" fontId="12" fillId="2" borderId="14" xfId="0" applyFont="1" applyFill="1" applyBorder="1" applyAlignment="1">
      <alignment horizontal="left"/>
    </xf>
    <xf numFmtId="9" fontId="12" fillId="2" borderId="14" xfId="0" applyNumberFormat="1" applyFont="1" applyFill="1" applyBorder="1" applyAlignment="1">
      <alignment horizontal="center"/>
    </xf>
    <xf numFmtId="0" fontId="12" fillId="2" borderId="15" xfId="0" applyFont="1" applyFill="1" applyBorder="1" applyAlignment="1">
      <alignment horizontal="left"/>
    </xf>
    <xf numFmtId="0" fontId="11" fillId="2" borderId="1" xfId="0" applyFont="1" applyFill="1" applyBorder="1" applyAlignment="1">
      <alignment horizontal="left" vertical="center"/>
    </xf>
    <xf numFmtId="2" fontId="12" fillId="0" borderId="0" xfId="0" applyNumberFormat="1" applyFont="1"/>
    <xf numFmtId="166" fontId="12" fillId="0" borderId="0" xfId="0" applyNumberFormat="1" applyFont="1"/>
    <xf numFmtId="3" fontId="12" fillId="0" borderId="0" xfId="0" applyNumberFormat="1" applyFont="1"/>
    <xf numFmtId="169" fontId="12" fillId="2" borderId="14" xfId="3" applyNumberFormat="1" applyFont="1" applyFill="1" applyBorder="1" applyAlignment="1">
      <alignment horizontal="center" vertical="center"/>
    </xf>
    <xf numFmtId="165" fontId="12" fillId="0" borderId="0" xfId="0" applyNumberFormat="1" applyFont="1"/>
    <xf numFmtId="167" fontId="12" fillId="2" borderId="14" xfId="3" applyNumberFormat="1" applyFont="1" applyFill="1" applyBorder="1" applyAlignment="1">
      <alignment horizontal="center" vertical="center"/>
    </xf>
    <xf numFmtId="3" fontId="12" fillId="2" borderId="14" xfId="3" applyNumberFormat="1" applyFont="1" applyFill="1" applyBorder="1" applyAlignment="1">
      <alignment horizontal="center"/>
    </xf>
    <xf numFmtId="169" fontId="12" fillId="2" borderId="14" xfId="3" applyNumberFormat="1" applyFont="1" applyFill="1" applyBorder="1" applyAlignment="1">
      <alignment horizontal="center"/>
    </xf>
    <xf numFmtId="0" fontId="15" fillId="2" borderId="5" xfId="0" applyFont="1" applyFill="1" applyBorder="1"/>
    <xf numFmtId="2" fontId="12" fillId="0" borderId="0" xfId="0" applyNumberFormat="1" applyFont="1" applyFill="1"/>
    <xf numFmtId="0" fontId="12" fillId="0" borderId="0" xfId="0" applyFont="1" applyFill="1" applyBorder="1"/>
    <xf numFmtId="0" fontId="13" fillId="0" borderId="0" xfId="0" applyFont="1" applyFill="1" applyBorder="1"/>
    <xf numFmtId="165" fontId="12" fillId="0" borderId="0" xfId="0" applyNumberFormat="1" applyFont="1" applyFill="1" applyBorder="1" applyAlignment="1">
      <alignment horizontal="center"/>
    </xf>
    <xf numFmtId="165" fontId="12" fillId="0" borderId="0" xfId="0" applyNumberFormat="1" applyFont="1" applyFill="1" applyBorder="1"/>
    <xf numFmtId="2" fontId="12" fillId="0" borderId="0" xfId="0" applyNumberFormat="1" applyFont="1" applyFill="1" applyBorder="1"/>
    <xf numFmtId="165" fontId="12" fillId="0" borderId="0" xfId="0" applyNumberFormat="1" applyFont="1" applyFill="1" applyBorder="1" applyAlignment="1">
      <alignment horizontal="right"/>
    </xf>
    <xf numFmtId="0" fontId="14" fillId="0" borderId="0" xfId="0" applyFont="1" applyFill="1" applyBorder="1"/>
    <xf numFmtId="165" fontId="12" fillId="2" borderId="14" xfId="0" applyNumberFormat="1" applyFont="1" applyFill="1" applyBorder="1" applyAlignment="1">
      <alignment horizontal="center"/>
    </xf>
    <xf numFmtId="0" fontId="12" fillId="0" borderId="0" xfId="0" applyFont="1" applyFill="1" applyAlignment="1">
      <alignment horizontal="center"/>
    </xf>
    <xf numFmtId="0" fontId="12" fillId="0" borderId="0" xfId="0" applyFont="1" applyAlignment="1">
      <alignment horizontal="center"/>
    </xf>
    <xf numFmtId="0" fontId="11" fillId="0" borderId="0" xfId="0" applyFont="1" applyFill="1" applyBorder="1" applyAlignment="1"/>
    <xf numFmtId="0" fontId="12" fillId="2" borderId="7" xfId="0" applyFont="1" applyFill="1" applyBorder="1"/>
    <xf numFmtId="0" fontId="11" fillId="0" borderId="13" xfId="0" applyFont="1" applyBorder="1" applyAlignment="1">
      <alignment horizontal="center"/>
    </xf>
    <xf numFmtId="0" fontId="11" fillId="0" borderId="14" xfId="0" applyFont="1" applyBorder="1" applyAlignment="1">
      <alignment horizontal="center"/>
    </xf>
    <xf numFmtId="166" fontId="11" fillId="2" borderId="13" xfId="0" applyNumberFormat="1" applyFont="1" applyFill="1" applyBorder="1" applyAlignment="1">
      <alignment horizontal="center"/>
    </xf>
    <xf numFmtId="166" fontId="11" fillId="2" borderId="4" xfId="0" applyNumberFormat="1" applyFont="1" applyFill="1" applyBorder="1" applyAlignment="1">
      <alignment horizontal="center"/>
    </xf>
    <xf numFmtId="1" fontId="17" fillId="0" borderId="3" xfId="0" applyNumberFormat="1" applyFont="1" applyBorder="1" applyAlignment="1">
      <alignment horizontal="center"/>
    </xf>
    <xf numFmtId="1" fontId="17" fillId="0" borderId="4" xfId="0" applyNumberFormat="1" applyFont="1" applyBorder="1" applyAlignment="1">
      <alignment horizontal="center"/>
    </xf>
    <xf numFmtId="166" fontId="17" fillId="0" borderId="0" xfId="0" applyNumberFormat="1" applyFont="1" applyBorder="1" applyAlignment="1">
      <alignment horizontal="center"/>
    </xf>
    <xf numFmtId="1" fontId="17" fillId="0" borderId="0" xfId="0" applyNumberFormat="1" applyFont="1" applyBorder="1" applyAlignment="1">
      <alignment horizontal="center"/>
    </xf>
    <xf numFmtId="1" fontId="17" fillId="0" borderId="6" xfId="0" applyNumberFormat="1" applyFont="1" applyBorder="1" applyAlignment="1">
      <alignment horizontal="center"/>
    </xf>
    <xf numFmtId="0" fontId="15" fillId="0" borderId="0" xfId="0" applyFont="1"/>
    <xf numFmtId="0" fontId="18" fillId="0" borderId="0" xfId="0" applyFont="1"/>
    <xf numFmtId="0" fontId="11" fillId="2" borderId="2" xfId="0" applyFont="1" applyFill="1" applyBorder="1"/>
    <xf numFmtId="3" fontId="18" fillId="0" borderId="0" xfId="0" applyNumberFormat="1" applyFont="1"/>
    <xf numFmtId="0" fontId="11" fillId="2" borderId="5" xfId="0" applyFont="1" applyFill="1" applyBorder="1"/>
    <xf numFmtId="0" fontId="15" fillId="2" borderId="10" xfId="0" applyFont="1" applyFill="1" applyBorder="1"/>
    <xf numFmtId="0" fontId="12" fillId="2" borderId="11" xfId="0" applyFont="1" applyFill="1" applyBorder="1"/>
    <xf numFmtId="0" fontId="12" fillId="2" borderId="12" xfId="0" applyFont="1" applyFill="1" applyBorder="1"/>
    <xf numFmtId="0" fontId="16" fillId="0" borderId="0" xfId="1" applyFont="1"/>
    <xf numFmtId="0" fontId="12" fillId="2" borderId="0" xfId="0" applyFont="1" applyFill="1"/>
    <xf numFmtId="166" fontId="12" fillId="0" borderId="0" xfId="0" applyNumberFormat="1" applyFont="1" applyFill="1"/>
    <xf numFmtId="166" fontId="12" fillId="2" borderId="14" xfId="0" applyNumberFormat="1" applyFont="1" applyFill="1" applyBorder="1" applyAlignment="1">
      <alignment horizontal="center"/>
    </xf>
    <xf numFmtId="0" fontId="19" fillId="2" borderId="14" xfId="0" applyFont="1" applyFill="1" applyBorder="1" applyAlignment="1">
      <alignment horizontal="center"/>
    </xf>
    <xf numFmtId="16" fontId="12" fillId="2" borderId="14" xfId="0" applyNumberFormat="1" applyFont="1" applyFill="1" applyBorder="1" applyAlignment="1">
      <alignment horizontal="center"/>
    </xf>
    <xf numFmtId="0" fontId="12" fillId="0" borderId="0" xfId="0" applyFont="1" applyFill="1" applyBorder="1" applyAlignment="1">
      <alignment horizontal="center"/>
    </xf>
    <xf numFmtId="0" fontId="12" fillId="2" borderId="15" xfId="0" applyFont="1" applyFill="1" applyBorder="1" applyAlignment="1">
      <alignment horizontal="center"/>
    </xf>
    <xf numFmtId="0" fontId="15" fillId="0" borderId="2" xfId="0" applyFont="1" applyFill="1" applyBorder="1"/>
    <xf numFmtId="3" fontId="12" fillId="0" borderId="0" xfId="0" applyNumberFormat="1" applyFont="1" applyFill="1"/>
    <xf numFmtId="0" fontId="20" fillId="0" borderId="13" xfId="0" applyFont="1" applyBorder="1" applyAlignment="1">
      <alignment horizontal="center"/>
    </xf>
    <xf numFmtId="0" fontId="20" fillId="0" borderId="14" xfId="0" applyFont="1" applyBorder="1" applyAlignment="1">
      <alignment horizontal="center"/>
    </xf>
    <xf numFmtId="0" fontId="20" fillId="0" borderId="15" xfId="0" applyFont="1" applyBorder="1" applyAlignment="1">
      <alignment horizontal="center"/>
    </xf>
    <xf numFmtId="166" fontId="17" fillId="0" borderId="8" xfId="0" applyNumberFormat="1" applyFont="1" applyBorder="1" applyAlignment="1">
      <alignment horizontal="center"/>
    </xf>
    <xf numFmtId="1" fontId="17" fillId="0" borderId="8" xfId="0" applyNumberFormat="1" applyFont="1" applyBorder="1" applyAlignment="1">
      <alignment horizontal="center"/>
    </xf>
    <xf numFmtId="1" fontId="17" fillId="0" borderId="9" xfId="0" applyNumberFormat="1" applyFont="1" applyBorder="1" applyAlignment="1">
      <alignment horizontal="center"/>
    </xf>
    <xf numFmtId="166" fontId="17" fillId="0" borderId="3" xfId="0" applyNumberFormat="1" applyFont="1" applyFill="1" applyBorder="1" applyAlignment="1">
      <alignment horizontal="center"/>
    </xf>
    <xf numFmtId="0" fontId="19" fillId="2" borderId="5" xfId="0" applyFont="1" applyFill="1" applyBorder="1" applyAlignment="1">
      <alignment horizontal="left" vertical="center" wrapText="1"/>
    </xf>
    <xf numFmtId="0" fontId="19" fillId="2" borderId="0" xfId="0" applyFont="1" applyFill="1" applyBorder="1" applyAlignment="1">
      <alignment horizontal="left" vertical="center" wrapText="1"/>
    </xf>
    <xf numFmtId="0" fontId="19" fillId="2" borderId="6" xfId="0" applyFont="1" applyFill="1" applyBorder="1" applyAlignment="1">
      <alignment horizontal="left" vertical="center" wrapText="1"/>
    </xf>
    <xf numFmtId="0" fontId="19" fillId="2" borderId="7" xfId="0" applyFont="1" applyFill="1" applyBorder="1" applyAlignment="1">
      <alignment horizontal="left" vertical="center" wrapText="1"/>
    </xf>
    <xf numFmtId="0" fontId="19" fillId="2" borderId="8"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2" fillId="2" borderId="6" xfId="0" applyFont="1" applyFill="1" applyBorder="1" applyAlignment="1">
      <alignment horizontal="left" vertical="center" wrapText="1"/>
    </xf>
    <xf numFmtId="0" fontId="11" fillId="2" borderId="10" xfId="0" applyFont="1" applyFill="1" applyBorder="1" applyAlignment="1">
      <alignment horizontal="center"/>
    </xf>
    <xf numFmtId="0" fontId="15" fillId="2" borderId="11" xfId="0" applyFont="1" applyFill="1" applyBorder="1" applyAlignment="1">
      <alignment horizontal="center"/>
    </xf>
    <xf numFmtId="0" fontId="15" fillId="2" borderId="12" xfId="0" applyFont="1" applyFill="1" applyBorder="1" applyAlignment="1">
      <alignment horizontal="center"/>
    </xf>
    <xf numFmtId="0" fontId="12" fillId="2" borderId="2"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1" fillId="2" borderId="11" xfId="0" applyFont="1" applyFill="1" applyBorder="1" applyAlignment="1">
      <alignment horizontal="center"/>
    </xf>
    <xf numFmtId="0" fontId="11" fillId="2" borderId="12" xfId="0" applyFont="1" applyFill="1" applyBorder="1" applyAlignment="1">
      <alignment horizont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2" borderId="10" xfId="0" applyFont="1" applyFill="1" applyBorder="1" applyAlignment="1">
      <alignment horizontal="left" vertical="center"/>
    </xf>
    <xf numFmtId="0" fontId="11" fillId="2" borderId="11" xfId="0" applyFont="1" applyFill="1" applyBorder="1" applyAlignment="1">
      <alignment horizontal="left" vertical="center"/>
    </xf>
    <xf numFmtId="0" fontId="11" fillId="2" borderId="12" xfId="0" applyFont="1" applyFill="1" applyBorder="1" applyAlignment="1">
      <alignment horizontal="left" vertical="center"/>
    </xf>
    <xf numFmtId="0" fontId="16" fillId="0" borderId="10" xfId="1" applyFont="1" applyBorder="1"/>
    <xf numFmtId="0" fontId="16" fillId="0" borderId="11" xfId="1" applyFont="1" applyBorder="1"/>
    <xf numFmtId="0" fontId="16" fillId="0" borderId="12" xfId="1" applyFont="1" applyBorder="1"/>
    <xf numFmtId="0" fontId="11" fillId="0" borderId="10" xfId="0" applyFont="1" applyBorder="1" applyAlignment="1">
      <alignment horizontal="center"/>
    </xf>
    <xf numFmtId="0" fontId="11" fillId="0" borderId="11" xfId="0" applyFont="1" applyBorder="1" applyAlignment="1">
      <alignment horizontal="center"/>
    </xf>
    <xf numFmtId="0" fontId="11" fillId="0" borderId="12" xfId="0" applyFont="1" applyBorder="1" applyAlignment="1">
      <alignment horizontal="center"/>
    </xf>
    <xf numFmtId="0" fontId="15" fillId="2" borderId="2" xfId="0" applyFont="1" applyFill="1" applyBorder="1" applyAlignment="1">
      <alignment horizontal="left"/>
    </xf>
    <xf numFmtId="0" fontId="15" fillId="2" borderId="3" xfId="0" applyFont="1" applyFill="1" applyBorder="1" applyAlignment="1">
      <alignment horizontal="left"/>
    </xf>
    <xf numFmtId="0" fontId="15" fillId="2" borderId="4" xfId="0" applyFont="1" applyFill="1" applyBorder="1" applyAlignment="1">
      <alignment horizontal="left"/>
    </xf>
    <xf numFmtId="0" fontId="15" fillId="2" borderId="5" xfId="0" applyFont="1" applyFill="1" applyBorder="1" applyAlignment="1">
      <alignment horizontal="left" wrapText="1"/>
    </xf>
    <xf numFmtId="0" fontId="15" fillId="2" borderId="0" xfId="0" applyFont="1" applyFill="1" applyBorder="1" applyAlignment="1">
      <alignment horizontal="left" wrapText="1"/>
    </xf>
    <xf numFmtId="0" fontId="15" fillId="2" borderId="6" xfId="0" applyFont="1" applyFill="1" applyBorder="1" applyAlignment="1">
      <alignment horizontal="left" wrapText="1"/>
    </xf>
    <xf numFmtId="2" fontId="15" fillId="2" borderId="7" xfId="0" applyNumberFormat="1" applyFont="1" applyFill="1" applyBorder="1" applyAlignment="1">
      <alignment horizontal="left" wrapText="1"/>
    </xf>
    <xf numFmtId="2" fontId="15" fillId="2" borderId="8" xfId="0" applyNumberFormat="1" applyFont="1" applyFill="1" applyBorder="1" applyAlignment="1">
      <alignment horizontal="left" wrapText="1"/>
    </xf>
    <xf numFmtId="2" fontId="15" fillId="2" borderId="9" xfId="0" applyNumberFormat="1" applyFont="1" applyFill="1" applyBorder="1" applyAlignment="1">
      <alignment horizontal="left" wrapText="1"/>
    </xf>
    <xf numFmtId="0" fontId="11" fillId="2" borderId="0" xfId="0" applyFont="1" applyFill="1" applyBorder="1" applyAlignment="1">
      <alignment horizontal="center"/>
    </xf>
    <xf numFmtId="2" fontId="15" fillId="2" borderId="5" xfId="0" applyNumberFormat="1" applyFont="1" applyFill="1" applyBorder="1" applyAlignment="1">
      <alignment horizontal="left" vertical="top" wrapText="1"/>
    </xf>
    <xf numFmtId="2" fontId="15" fillId="2" borderId="0" xfId="0" applyNumberFormat="1" applyFont="1" applyFill="1" applyBorder="1" applyAlignment="1">
      <alignment horizontal="left" vertical="top" wrapText="1"/>
    </xf>
    <xf numFmtId="2" fontId="15" fillId="2" borderId="6" xfId="0" applyNumberFormat="1" applyFont="1" applyFill="1" applyBorder="1" applyAlignment="1">
      <alignment horizontal="left" vertical="top" wrapText="1"/>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2" fontId="11" fillId="0" borderId="10" xfId="0" applyNumberFormat="1" applyFont="1" applyFill="1" applyBorder="1" applyAlignment="1">
      <alignment horizontal="center"/>
    </xf>
    <xf numFmtId="2" fontId="11" fillId="0" borderId="11" xfId="0" applyNumberFormat="1" applyFont="1" applyFill="1" applyBorder="1" applyAlignment="1">
      <alignment horizontal="center"/>
    </xf>
    <xf numFmtId="2" fontId="11" fillId="0" borderId="12" xfId="0" applyNumberFormat="1" applyFont="1" applyFill="1" applyBorder="1" applyAlignment="1">
      <alignment horizontal="center"/>
    </xf>
    <xf numFmtId="0" fontId="15" fillId="0" borderId="10" xfId="0" applyFont="1" applyFill="1" applyBorder="1" applyAlignment="1">
      <alignment horizontal="left" wrapText="1"/>
    </xf>
    <xf numFmtId="0" fontId="15" fillId="0" borderId="11" xfId="0" applyFont="1" applyFill="1" applyBorder="1" applyAlignment="1">
      <alignment horizontal="left" wrapText="1"/>
    </xf>
    <xf numFmtId="0" fontId="15" fillId="0" borderId="12" xfId="0" applyFont="1" applyFill="1" applyBorder="1" applyAlignment="1">
      <alignment horizontal="left" wrapText="1"/>
    </xf>
  </cellXfs>
  <cellStyles count="4">
    <cellStyle name="Comma" xfId="3" builtinId="3"/>
    <cellStyle name="Hyperlink" xfId="1" builtinId="8"/>
    <cellStyle name="Normal" xfId="0" builtinId="0"/>
    <cellStyle name="Normal 2" xfId="2"/>
  </cellStyles>
  <dxfs count="0"/>
  <tableStyles count="0" defaultTableStyle="TableStyleMedium2" defaultPivotStyle="PivotStyleLight16"/>
  <colors>
    <mruColors>
      <color rgb="FF009999"/>
      <color rgb="FF33CCCC"/>
      <color rgb="FF0099CC"/>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'Volume and Value by Month'!$M$3</c:f>
              <c:strCache>
                <c:ptCount val="1"/>
                <c:pt idx="0">
                  <c:v>2023 H1 Count</c:v>
                </c:pt>
              </c:strCache>
            </c:strRef>
          </c:tx>
          <c:spPr>
            <a:solidFill>
              <a:schemeClr val="bg2"/>
            </a:solidFill>
            <a:ln>
              <a:solidFill>
                <a:schemeClr val="bg2"/>
              </a:solidFill>
            </a:ln>
            <a:effectLst/>
          </c:spPr>
          <c:invertIfNegative val="0"/>
          <c:cat>
            <c:strRef>
              <c:f>'Volume and Value by Month'!$K$4:$K$9</c:f>
              <c:strCache>
                <c:ptCount val="6"/>
                <c:pt idx="0">
                  <c:v>January </c:v>
                </c:pt>
                <c:pt idx="1">
                  <c:v>February</c:v>
                </c:pt>
                <c:pt idx="2">
                  <c:v>March</c:v>
                </c:pt>
                <c:pt idx="3">
                  <c:v>April </c:v>
                </c:pt>
                <c:pt idx="4">
                  <c:v>May</c:v>
                </c:pt>
                <c:pt idx="5">
                  <c:v>June</c:v>
                </c:pt>
              </c:strCache>
            </c:strRef>
          </c:cat>
          <c:val>
            <c:numRef>
              <c:f>'Volume and Value by Month'!$M$4:$M$9</c:f>
              <c:numCache>
                <c:formatCode>#,##0</c:formatCode>
                <c:ptCount val="6"/>
                <c:pt idx="0">
                  <c:v>3304</c:v>
                </c:pt>
                <c:pt idx="1">
                  <c:v>3976</c:v>
                </c:pt>
                <c:pt idx="2">
                  <c:v>3101</c:v>
                </c:pt>
                <c:pt idx="3">
                  <c:v>3122</c:v>
                </c:pt>
                <c:pt idx="4">
                  <c:v>3381</c:v>
                </c:pt>
                <c:pt idx="5">
                  <c:v>3271</c:v>
                </c:pt>
              </c:numCache>
            </c:numRef>
          </c:val>
          <c:extLst>
            <c:ext xmlns:c16="http://schemas.microsoft.com/office/drawing/2014/chart" uri="{C3380CC4-5D6E-409C-BE32-E72D297353CC}">
              <c16:uniqueId val="{00000001-BF52-460E-89CA-02FC79133471}"/>
            </c:ext>
          </c:extLst>
        </c:ser>
        <c:ser>
          <c:idx val="3"/>
          <c:order val="3"/>
          <c:tx>
            <c:strRef>
              <c:f>'Volume and Value by Month'!$O$3</c:f>
              <c:strCache>
                <c:ptCount val="1"/>
                <c:pt idx="0">
                  <c:v>2024 H1 Count</c:v>
                </c:pt>
              </c:strCache>
            </c:strRef>
          </c:tx>
          <c:spPr>
            <a:solidFill>
              <a:schemeClr val="accent2"/>
            </a:solidFill>
            <a:ln>
              <a:solidFill>
                <a:schemeClr val="accent2"/>
              </a:solidFill>
            </a:ln>
            <a:effectLst/>
          </c:spPr>
          <c:invertIfNegative val="0"/>
          <c:cat>
            <c:strRef>
              <c:f>'Volume and Value by Month'!$K$4:$K$9</c:f>
              <c:strCache>
                <c:ptCount val="6"/>
                <c:pt idx="0">
                  <c:v>January </c:v>
                </c:pt>
                <c:pt idx="1">
                  <c:v>February</c:v>
                </c:pt>
                <c:pt idx="2">
                  <c:v>March</c:v>
                </c:pt>
                <c:pt idx="3">
                  <c:v>April </c:v>
                </c:pt>
                <c:pt idx="4">
                  <c:v>May</c:v>
                </c:pt>
                <c:pt idx="5">
                  <c:v>June</c:v>
                </c:pt>
              </c:strCache>
            </c:strRef>
          </c:cat>
          <c:val>
            <c:numRef>
              <c:f>'Volume and Value by Month'!$O$4:$O$9</c:f>
              <c:numCache>
                <c:formatCode>#,##0</c:formatCode>
                <c:ptCount val="6"/>
                <c:pt idx="0">
                  <c:v>2440</c:v>
                </c:pt>
                <c:pt idx="1">
                  <c:v>2870</c:v>
                </c:pt>
                <c:pt idx="2">
                  <c:v>2927</c:v>
                </c:pt>
                <c:pt idx="3">
                  <c:v>3044</c:v>
                </c:pt>
                <c:pt idx="4">
                  <c:v>3515</c:v>
                </c:pt>
                <c:pt idx="5">
                  <c:v>3335</c:v>
                </c:pt>
              </c:numCache>
            </c:numRef>
          </c:val>
          <c:extLst>
            <c:ext xmlns:c16="http://schemas.microsoft.com/office/drawing/2014/chart" uri="{C3380CC4-5D6E-409C-BE32-E72D297353CC}">
              <c16:uniqueId val="{00000003-BF52-460E-89CA-02FC79133471}"/>
            </c:ext>
          </c:extLst>
        </c:ser>
        <c:dLbls>
          <c:showLegendKey val="0"/>
          <c:showVal val="0"/>
          <c:showCatName val="0"/>
          <c:showSerName val="0"/>
          <c:showPercent val="0"/>
          <c:showBubbleSize val="0"/>
        </c:dLbls>
        <c:gapWidth val="219"/>
        <c:axId val="1090480472"/>
        <c:axId val="1090477192"/>
      </c:barChart>
      <c:lineChart>
        <c:grouping val="standard"/>
        <c:varyColors val="0"/>
        <c:ser>
          <c:idx val="0"/>
          <c:order val="0"/>
          <c:tx>
            <c:strRef>
              <c:f>'Volume and Value by Month'!$L$3</c:f>
              <c:strCache>
                <c:ptCount val="1"/>
                <c:pt idx="0">
                  <c:v>2023 H1 Balance (€M)</c:v>
                </c:pt>
              </c:strCache>
            </c:strRef>
          </c:tx>
          <c:spPr>
            <a:ln w="28575" cap="rnd">
              <a:solidFill>
                <a:schemeClr val="accent1"/>
              </a:solidFill>
              <a:round/>
            </a:ln>
            <a:effectLst/>
          </c:spPr>
          <c:marker>
            <c:symbol val="none"/>
          </c:marker>
          <c:cat>
            <c:strRef>
              <c:f>'Volume and Value by Month'!$K$4:$K$9</c:f>
              <c:strCache>
                <c:ptCount val="6"/>
                <c:pt idx="0">
                  <c:v>January </c:v>
                </c:pt>
                <c:pt idx="1">
                  <c:v>February</c:v>
                </c:pt>
                <c:pt idx="2">
                  <c:v>March</c:v>
                </c:pt>
                <c:pt idx="3">
                  <c:v>April </c:v>
                </c:pt>
                <c:pt idx="4">
                  <c:v>May</c:v>
                </c:pt>
                <c:pt idx="5">
                  <c:v>June</c:v>
                </c:pt>
              </c:strCache>
            </c:strRef>
          </c:cat>
          <c:val>
            <c:numRef>
              <c:f>'Volume and Value by Month'!$L$4:$L$9</c:f>
              <c:numCache>
                <c:formatCode>#,##0</c:formatCode>
                <c:ptCount val="6"/>
                <c:pt idx="0">
                  <c:v>897.69860000000006</c:v>
                </c:pt>
                <c:pt idx="1">
                  <c:v>1145.03</c:v>
                </c:pt>
                <c:pt idx="2">
                  <c:v>826.41980000000001</c:v>
                </c:pt>
                <c:pt idx="3">
                  <c:v>886.50170000000003</c:v>
                </c:pt>
                <c:pt idx="4">
                  <c:v>947.95339999999999</c:v>
                </c:pt>
                <c:pt idx="5">
                  <c:v>915.97</c:v>
                </c:pt>
              </c:numCache>
            </c:numRef>
          </c:val>
          <c:smooth val="0"/>
          <c:extLst>
            <c:ext xmlns:c16="http://schemas.microsoft.com/office/drawing/2014/chart" uri="{C3380CC4-5D6E-409C-BE32-E72D297353CC}">
              <c16:uniqueId val="{00000000-BF52-460E-89CA-02FC79133471}"/>
            </c:ext>
          </c:extLst>
        </c:ser>
        <c:ser>
          <c:idx val="2"/>
          <c:order val="2"/>
          <c:tx>
            <c:strRef>
              <c:f>'Volume and Value by Month'!$N$3</c:f>
              <c:strCache>
                <c:ptCount val="1"/>
                <c:pt idx="0">
                  <c:v>2024 H1 Balance (€M)</c:v>
                </c:pt>
              </c:strCache>
            </c:strRef>
          </c:tx>
          <c:spPr>
            <a:ln w="28575" cap="rnd">
              <a:solidFill>
                <a:schemeClr val="accent3"/>
              </a:solidFill>
              <a:round/>
            </a:ln>
            <a:effectLst/>
          </c:spPr>
          <c:marker>
            <c:symbol val="none"/>
          </c:marker>
          <c:cat>
            <c:strRef>
              <c:f>'Volume and Value by Month'!$K$4:$K$9</c:f>
              <c:strCache>
                <c:ptCount val="6"/>
                <c:pt idx="0">
                  <c:v>January </c:v>
                </c:pt>
                <c:pt idx="1">
                  <c:v>February</c:v>
                </c:pt>
                <c:pt idx="2">
                  <c:v>March</c:v>
                </c:pt>
                <c:pt idx="3">
                  <c:v>April </c:v>
                </c:pt>
                <c:pt idx="4">
                  <c:v>May</c:v>
                </c:pt>
                <c:pt idx="5">
                  <c:v>June</c:v>
                </c:pt>
              </c:strCache>
            </c:strRef>
          </c:cat>
          <c:val>
            <c:numRef>
              <c:f>'Volume and Value by Month'!$N$4:$N$9</c:f>
              <c:numCache>
                <c:formatCode>#,##0</c:formatCode>
                <c:ptCount val="6"/>
                <c:pt idx="0">
                  <c:v>688.59529999999995</c:v>
                </c:pt>
                <c:pt idx="1">
                  <c:v>813.07709999999997</c:v>
                </c:pt>
                <c:pt idx="2">
                  <c:v>829.79489999999998</c:v>
                </c:pt>
                <c:pt idx="3">
                  <c:v>861.4914</c:v>
                </c:pt>
                <c:pt idx="4">
                  <c:v>1025.1880000000001</c:v>
                </c:pt>
                <c:pt idx="5">
                  <c:v>992.79930000000002</c:v>
                </c:pt>
              </c:numCache>
            </c:numRef>
          </c:val>
          <c:smooth val="0"/>
          <c:extLst>
            <c:ext xmlns:c16="http://schemas.microsoft.com/office/drawing/2014/chart" uri="{C3380CC4-5D6E-409C-BE32-E72D297353CC}">
              <c16:uniqueId val="{00000002-BF52-460E-89CA-02FC79133471}"/>
            </c:ext>
          </c:extLst>
        </c:ser>
        <c:dLbls>
          <c:showLegendKey val="0"/>
          <c:showVal val="0"/>
          <c:showCatName val="0"/>
          <c:showSerName val="0"/>
          <c:showPercent val="0"/>
          <c:showBubbleSize val="0"/>
        </c:dLbls>
        <c:marker val="1"/>
        <c:smooth val="0"/>
        <c:axId val="1121294216"/>
        <c:axId val="1121291592"/>
      </c:lineChart>
      <c:catAx>
        <c:axId val="109048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1090477192"/>
        <c:crosses val="autoZero"/>
        <c:auto val="1"/>
        <c:lblAlgn val="ctr"/>
        <c:lblOffset val="100"/>
        <c:noMultiLvlLbl val="0"/>
      </c:catAx>
      <c:valAx>
        <c:axId val="1090477192"/>
        <c:scaling>
          <c:orientation val="minMax"/>
          <c:max val="6400"/>
          <c:min val="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E" sz="900">
                    <a:solidFill>
                      <a:sysClr val="windowText" lastClr="000000"/>
                    </a:solidFill>
                    <a:latin typeface="+mn-lt"/>
                  </a:rPr>
                  <a:t>Number</a:t>
                </a:r>
                <a:r>
                  <a:rPr lang="en-IE" sz="900" baseline="0">
                    <a:solidFill>
                      <a:sysClr val="windowText" lastClr="000000"/>
                    </a:solidFill>
                    <a:latin typeface="+mn-lt"/>
                  </a:rPr>
                  <a:t> of Loans </a:t>
                </a:r>
                <a:endParaRPr lang="en-IE" sz="900">
                  <a:solidFill>
                    <a:sysClr val="windowText" lastClr="000000"/>
                  </a:solidFill>
                  <a:latin typeface="+mn-lt"/>
                </a:endParaRPr>
              </a:p>
            </c:rich>
          </c:tx>
          <c:layout>
            <c:manualLayout>
              <c:xMode val="edge"/>
              <c:yMode val="edge"/>
              <c:x val="1.7826598598252138E-2"/>
              <c:y val="0.2305645033007237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1090480472"/>
        <c:crosses val="autoZero"/>
        <c:crossBetween val="between"/>
      </c:valAx>
      <c:valAx>
        <c:axId val="1121291592"/>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E" sz="900" b="0" i="0" u="none" strike="noStrike" kern="1200" baseline="0">
                    <a:solidFill>
                      <a:sysClr val="windowText" lastClr="000000"/>
                    </a:solidFill>
                    <a:latin typeface="+mn-lt"/>
                    <a:ea typeface="+mn-ea"/>
                    <a:cs typeface="+mn-cs"/>
                  </a:rPr>
                  <a:t>Balance (€M)</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21294216"/>
        <c:crosses val="max"/>
        <c:crossBetween val="between"/>
      </c:valAx>
      <c:catAx>
        <c:axId val="1121294216"/>
        <c:scaling>
          <c:orientation val="minMax"/>
        </c:scaling>
        <c:delete val="1"/>
        <c:axPos val="b"/>
        <c:numFmt formatCode="General" sourceLinked="1"/>
        <c:majorTickMark val="out"/>
        <c:minorTickMark val="none"/>
        <c:tickLblPos val="nextTo"/>
        <c:crossAx val="1121291592"/>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LTI'!$C$31</c:f>
              <c:strCache>
                <c:ptCount val="1"/>
                <c:pt idx="0">
                  <c:v>LTI FTB P10</c:v>
                </c:pt>
              </c:strCache>
            </c:strRef>
          </c:tx>
          <c:spPr>
            <a:ln w="28575" cap="rnd">
              <a:solidFill>
                <a:schemeClr val="bg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LTI'!$C$32:$C$50</c:f>
              <c:numCache>
                <c:formatCode>0.0</c:formatCode>
                <c:ptCount val="19"/>
                <c:pt idx="0">
                  <c:v>2.514885</c:v>
                </c:pt>
                <c:pt idx="1">
                  <c:v>2.5882160000000001</c:v>
                </c:pt>
                <c:pt idx="2">
                  <c:v>2.6438009999999998</c:v>
                </c:pt>
                <c:pt idx="3">
                  <c:v>2.320624</c:v>
                </c:pt>
                <c:pt idx="4">
                  <c:v>2.2484459999999999</c:v>
                </c:pt>
                <c:pt idx="5">
                  <c:v>1.965603</c:v>
                </c:pt>
                <c:pt idx="6">
                  <c:v>1.616549</c:v>
                </c:pt>
                <c:pt idx="7">
                  <c:v>1.4567129999999999</c:v>
                </c:pt>
                <c:pt idx="8">
                  <c:v>1.541317</c:v>
                </c:pt>
                <c:pt idx="9">
                  <c:v>1.7300000190734863</c:v>
                </c:pt>
                <c:pt idx="10">
                  <c:v>1.8700000047683716</c:v>
                </c:pt>
                <c:pt idx="11">
                  <c:v>2.0299999713897705</c:v>
                </c:pt>
                <c:pt idx="12">
                  <c:v>2.119999885559082</c:v>
                </c:pt>
                <c:pt idx="13">
                  <c:v>2.1700000762939453</c:v>
                </c:pt>
                <c:pt idx="14">
                  <c:v>2.2400000095367432</c:v>
                </c:pt>
                <c:pt idx="15">
                  <c:v>2.3299999237060547</c:v>
                </c:pt>
                <c:pt idx="16">
                  <c:v>2.3900001049041748</c:v>
                </c:pt>
                <c:pt idx="17">
                  <c:v>2.38</c:v>
                </c:pt>
                <c:pt idx="18">
                  <c:v>2.38</c:v>
                </c:pt>
              </c:numCache>
            </c:numRef>
          </c:val>
          <c:smooth val="0"/>
          <c:extLst>
            <c:ext xmlns:c16="http://schemas.microsoft.com/office/drawing/2014/chart" uri="{C3380CC4-5D6E-409C-BE32-E72D297353CC}">
              <c16:uniqueId val="{00000000-8B97-4EB4-83A9-568ABBE226C8}"/>
            </c:ext>
          </c:extLst>
        </c:ser>
        <c:ser>
          <c:idx val="1"/>
          <c:order val="1"/>
          <c:tx>
            <c:strRef>
              <c:f>'Trend over time in LTV and LTI'!$D$31</c:f>
              <c:strCache>
                <c:ptCount val="1"/>
                <c:pt idx="0">
                  <c:v>LTI FTB P25</c:v>
                </c:pt>
              </c:strCache>
            </c:strRef>
          </c:tx>
          <c:spPr>
            <a:ln w="28575" cap="rnd">
              <a:solidFill>
                <a:schemeClr val="tx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LTI'!$D$32:$D$50</c:f>
              <c:numCache>
                <c:formatCode>0.0</c:formatCode>
                <c:ptCount val="19"/>
                <c:pt idx="0">
                  <c:v>3.4146339999999999</c:v>
                </c:pt>
                <c:pt idx="1">
                  <c:v>3.5224310000000001</c:v>
                </c:pt>
                <c:pt idx="2">
                  <c:v>3.5714290000000002</c:v>
                </c:pt>
                <c:pt idx="3">
                  <c:v>3.222664</c:v>
                </c:pt>
                <c:pt idx="4">
                  <c:v>3.0084240000000002</c:v>
                </c:pt>
                <c:pt idx="5">
                  <c:v>2.6212599999999999</c:v>
                </c:pt>
                <c:pt idx="6">
                  <c:v>2.276688</c:v>
                </c:pt>
                <c:pt idx="7">
                  <c:v>2.0564849999999999</c:v>
                </c:pt>
                <c:pt idx="8">
                  <c:v>2.083453</c:v>
                </c:pt>
                <c:pt idx="9">
                  <c:v>2.309999942779541</c:v>
                </c:pt>
                <c:pt idx="10">
                  <c:v>2.440000057220459</c:v>
                </c:pt>
                <c:pt idx="11">
                  <c:v>2.5799999237060547</c:v>
                </c:pt>
                <c:pt idx="12">
                  <c:v>2.6800000667572021</c:v>
                </c:pt>
                <c:pt idx="13">
                  <c:v>2.7300000190734863</c:v>
                </c:pt>
                <c:pt idx="14">
                  <c:v>2.7799999713897705</c:v>
                </c:pt>
                <c:pt idx="15">
                  <c:v>2.869999885559082</c:v>
                </c:pt>
                <c:pt idx="16">
                  <c:v>2.9200000762939453</c:v>
                </c:pt>
                <c:pt idx="17">
                  <c:v>2.95</c:v>
                </c:pt>
                <c:pt idx="18">
                  <c:v>2.96</c:v>
                </c:pt>
              </c:numCache>
            </c:numRef>
          </c:val>
          <c:smooth val="0"/>
          <c:extLst>
            <c:ext xmlns:c16="http://schemas.microsoft.com/office/drawing/2014/chart" uri="{C3380CC4-5D6E-409C-BE32-E72D297353CC}">
              <c16:uniqueId val="{00000001-8B97-4EB4-83A9-568ABBE226C8}"/>
            </c:ext>
          </c:extLst>
        </c:ser>
        <c:ser>
          <c:idx val="3"/>
          <c:order val="3"/>
          <c:tx>
            <c:strRef>
              <c:f>'Trend over time in LTV and LTI'!$F$31</c:f>
              <c:strCache>
                <c:ptCount val="1"/>
                <c:pt idx="0">
                  <c:v>LTI FTB P75</c:v>
                </c:pt>
              </c:strCache>
            </c:strRef>
          </c:tx>
          <c:spPr>
            <a:ln w="28575" cap="rnd">
              <a:solidFill>
                <a:schemeClr val="accent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LTI'!$F$32:$F$50</c:f>
              <c:numCache>
                <c:formatCode>0.0</c:formatCode>
                <c:ptCount val="19"/>
                <c:pt idx="0">
                  <c:v>5.0001100000000003</c:v>
                </c:pt>
                <c:pt idx="1">
                  <c:v>5.0999999999999996</c:v>
                </c:pt>
                <c:pt idx="2">
                  <c:v>5.2380950000000004</c:v>
                </c:pt>
                <c:pt idx="3">
                  <c:v>4.9249999999999998</c:v>
                </c:pt>
                <c:pt idx="4">
                  <c:v>4.6416490000000001</c:v>
                </c:pt>
                <c:pt idx="5">
                  <c:v>4.1666670000000003</c:v>
                </c:pt>
                <c:pt idx="6">
                  <c:v>3.7545039999999998</c:v>
                </c:pt>
                <c:pt idx="7">
                  <c:v>3.4158300000000001</c:v>
                </c:pt>
                <c:pt idx="8">
                  <c:v>3.3857140000000001</c:v>
                </c:pt>
                <c:pt idx="9">
                  <c:v>3.4500000476837158</c:v>
                </c:pt>
                <c:pt idx="10">
                  <c:v>3.4300000667572021</c:v>
                </c:pt>
                <c:pt idx="11">
                  <c:v>3.4900000095367432</c:v>
                </c:pt>
                <c:pt idx="12">
                  <c:v>3.4900000095367432</c:v>
                </c:pt>
                <c:pt idx="13">
                  <c:v>3.4900000095367432</c:v>
                </c:pt>
                <c:pt idx="14">
                  <c:v>3.4900000095367432</c:v>
                </c:pt>
                <c:pt idx="15">
                  <c:v>3.5</c:v>
                </c:pt>
                <c:pt idx="16">
                  <c:v>3.5</c:v>
                </c:pt>
                <c:pt idx="17">
                  <c:v>3.83</c:v>
                </c:pt>
                <c:pt idx="18">
                  <c:v>3.92</c:v>
                </c:pt>
              </c:numCache>
            </c:numRef>
          </c:val>
          <c:smooth val="0"/>
          <c:extLst>
            <c:ext xmlns:c16="http://schemas.microsoft.com/office/drawing/2014/chart" uri="{C3380CC4-5D6E-409C-BE32-E72D297353CC}">
              <c16:uniqueId val="{00000003-8B97-4EB4-83A9-568ABBE226C8}"/>
            </c:ext>
          </c:extLst>
        </c:ser>
        <c:ser>
          <c:idx val="4"/>
          <c:order val="4"/>
          <c:tx>
            <c:strRef>
              <c:f>'Trend over time in LTV and LTI'!$G$31</c:f>
              <c:strCache>
                <c:ptCount val="1"/>
                <c:pt idx="0">
                  <c:v>LTI FTB P90 </c:v>
                </c:pt>
              </c:strCache>
            </c:strRef>
          </c:tx>
          <c:spPr>
            <a:ln w="28575" cap="rnd">
              <a:solidFill>
                <a:schemeClr val="accent5"/>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LTI'!$G$32:$G$50</c:f>
              <c:numCache>
                <c:formatCode>0.0</c:formatCode>
                <c:ptCount val="19"/>
                <c:pt idx="0">
                  <c:v>5.7868110000000001</c:v>
                </c:pt>
                <c:pt idx="1">
                  <c:v>5.8697629999999998</c:v>
                </c:pt>
                <c:pt idx="2">
                  <c:v>5.9688939999999997</c:v>
                </c:pt>
                <c:pt idx="3">
                  <c:v>5.5863769999999997</c:v>
                </c:pt>
                <c:pt idx="4">
                  <c:v>5.2139819999999997</c:v>
                </c:pt>
                <c:pt idx="5">
                  <c:v>4.7245720000000002</c:v>
                </c:pt>
                <c:pt idx="6">
                  <c:v>4.4148170000000002</c:v>
                </c:pt>
                <c:pt idx="7">
                  <c:v>3.9565350000000001</c:v>
                </c:pt>
                <c:pt idx="8">
                  <c:v>3.8902800000000002</c:v>
                </c:pt>
                <c:pt idx="9">
                  <c:v>3.8499999046325684</c:v>
                </c:pt>
                <c:pt idx="10">
                  <c:v>3.690000057220459</c:v>
                </c:pt>
                <c:pt idx="11">
                  <c:v>3.9100000858306885</c:v>
                </c:pt>
                <c:pt idx="12">
                  <c:v>3.7699999809265137</c:v>
                </c:pt>
                <c:pt idx="13">
                  <c:v>3.7400000095367432</c:v>
                </c:pt>
                <c:pt idx="14">
                  <c:v>3.5</c:v>
                </c:pt>
                <c:pt idx="15">
                  <c:v>3.630000114440918</c:v>
                </c:pt>
                <c:pt idx="16">
                  <c:v>3.7999999523162842</c:v>
                </c:pt>
                <c:pt idx="17">
                  <c:v>4</c:v>
                </c:pt>
                <c:pt idx="18">
                  <c:v>4</c:v>
                </c:pt>
              </c:numCache>
            </c:numRef>
          </c:val>
          <c:smooth val="0"/>
          <c:extLst>
            <c:ext xmlns:c16="http://schemas.microsoft.com/office/drawing/2014/chart" uri="{C3380CC4-5D6E-409C-BE32-E72D297353CC}">
              <c16:uniqueId val="{00000004-8B97-4EB4-83A9-568ABBE226C8}"/>
            </c:ext>
          </c:extLst>
        </c:ser>
        <c:ser>
          <c:idx val="2"/>
          <c:order val="2"/>
          <c:tx>
            <c:strRef>
              <c:f>'Trend over time in LTV and LTI'!$E$31</c:f>
              <c:strCache>
                <c:ptCount val="1"/>
                <c:pt idx="0">
                  <c:v>LTI FTB Median</c:v>
                </c:pt>
              </c:strCache>
            </c:strRef>
          </c:tx>
          <c:spPr>
            <a:ln w="28575" cap="rnd">
              <a:solidFill>
                <a:schemeClr val="accent1"/>
              </a:solidFill>
              <a:prstDash val="dash"/>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LTI'!$E$32:$E$50</c:f>
              <c:numCache>
                <c:formatCode>0.0</c:formatCode>
                <c:ptCount val="19"/>
                <c:pt idx="0">
                  <c:v>4.2348400000000002</c:v>
                </c:pt>
                <c:pt idx="1">
                  <c:v>4.3441039999999997</c:v>
                </c:pt>
                <c:pt idx="2">
                  <c:v>4.45214</c:v>
                </c:pt>
                <c:pt idx="3">
                  <c:v>4.1007540000000002</c:v>
                </c:pt>
                <c:pt idx="4">
                  <c:v>3.8680509999999999</c:v>
                </c:pt>
                <c:pt idx="5">
                  <c:v>3.399006</c:v>
                </c:pt>
                <c:pt idx="6">
                  <c:v>3.0032610000000002</c:v>
                </c:pt>
                <c:pt idx="7">
                  <c:v>2.7253180000000001</c:v>
                </c:pt>
                <c:pt idx="8">
                  <c:v>2.725285</c:v>
                </c:pt>
                <c:pt idx="9">
                  <c:v>2.9100000858306885</c:v>
                </c:pt>
                <c:pt idx="10">
                  <c:v>3.0099999904632568</c:v>
                </c:pt>
                <c:pt idx="11">
                  <c:v>3.1500000953674316</c:v>
                </c:pt>
                <c:pt idx="12">
                  <c:v>3.2200000286102295</c:v>
                </c:pt>
                <c:pt idx="13">
                  <c:v>3.25</c:v>
                </c:pt>
                <c:pt idx="14">
                  <c:v>3.2699999809265137</c:v>
                </c:pt>
                <c:pt idx="15">
                  <c:v>3.3399999141693115</c:v>
                </c:pt>
                <c:pt idx="16">
                  <c:v>3.3599998950958252</c:v>
                </c:pt>
                <c:pt idx="17">
                  <c:v>3.44</c:v>
                </c:pt>
                <c:pt idx="18">
                  <c:v>3.5</c:v>
                </c:pt>
              </c:numCache>
            </c:numRef>
          </c:val>
          <c:smooth val="0"/>
          <c:extLst>
            <c:ext xmlns:c16="http://schemas.microsoft.com/office/drawing/2014/chart" uri="{C3380CC4-5D6E-409C-BE32-E72D297353CC}">
              <c16:uniqueId val="{00000002-8B97-4EB4-83A9-568ABBE226C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LTI'!$H$31</c:f>
              <c:strCache>
                <c:ptCount val="1"/>
                <c:pt idx="0">
                  <c:v>LTV FTB P10</c:v>
                </c:pt>
              </c:strCache>
            </c:strRef>
          </c:tx>
          <c:spPr>
            <a:ln w="28575" cap="rnd">
              <a:solidFill>
                <a:schemeClr val="bg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LTI'!$H$32:$H$50</c:f>
              <c:numCache>
                <c:formatCode>0</c:formatCode>
                <c:ptCount val="19"/>
                <c:pt idx="0">
                  <c:v>50</c:v>
                </c:pt>
                <c:pt idx="1">
                  <c:v>47</c:v>
                </c:pt>
                <c:pt idx="2">
                  <c:v>46</c:v>
                </c:pt>
                <c:pt idx="3">
                  <c:v>49</c:v>
                </c:pt>
                <c:pt idx="4">
                  <c:v>52</c:v>
                </c:pt>
                <c:pt idx="5">
                  <c:v>44</c:v>
                </c:pt>
                <c:pt idx="6">
                  <c:v>41</c:v>
                </c:pt>
                <c:pt idx="7">
                  <c:v>44</c:v>
                </c:pt>
                <c:pt idx="8">
                  <c:v>49</c:v>
                </c:pt>
                <c:pt idx="9">
                  <c:v>56.139999389648438</c:v>
                </c:pt>
                <c:pt idx="10">
                  <c:v>57.139999389648438</c:v>
                </c:pt>
                <c:pt idx="11">
                  <c:v>59.490001678466797</c:v>
                </c:pt>
                <c:pt idx="12">
                  <c:v>59.430000305175781</c:v>
                </c:pt>
                <c:pt idx="13">
                  <c:v>62.020000457763672</c:v>
                </c:pt>
                <c:pt idx="14">
                  <c:v>64.910003662109375</c:v>
                </c:pt>
                <c:pt idx="15">
                  <c:v>62.060001373291016</c:v>
                </c:pt>
                <c:pt idx="16">
                  <c:v>61.200000762939453</c:v>
                </c:pt>
                <c:pt idx="17">
                  <c:v>60.33</c:v>
                </c:pt>
                <c:pt idx="18">
                  <c:v>59.52</c:v>
                </c:pt>
              </c:numCache>
            </c:numRef>
          </c:val>
          <c:smooth val="0"/>
          <c:extLst>
            <c:ext xmlns:c16="http://schemas.microsoft.com/office/drawing/2014/chart" uri="{C3380CC4-5D6E-409C-BE32-E72D297353CC}">
              <c16:uniqueId val="{00000000-04DA-416F-8D0E-FE8670BC42A6}"/>
            </c:ext>
          </c:extLst>
        </c:ser>
        <c:ser>
          <c:idx val="1"/>
          <c:order val="1"/>
          <c:tx>
            <c:strRef>
              <c:f>'Trend over time in LTV and LTI'!$I$31</c:f>
              <c:strCache>
                <c:ptCount val="1"/>
                <c:pt idx="0">
                  <c:v>LTV FTB P25</c:v>
                </c:pt>
              </c:strCache>
            </c:strRef>
          </c:tx>
          <c:spPr>
            <a:ln w="28575" cap="rnd">
              <a:solidFill>
                <a:schemeClr val="tx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LTI'!$I$32:$I$50</c:f>
              <c:numCache>
                <c:formatCode>0</c:formatCode>
                <c:ptCount val="19"/>
                <c:pt idx="0">
                  <c:v>73</c:v>
                </c:pt>
                <c:pt idx="1">
                  <c:v>66</c:v>
                </c:pt>
                <c:pt idx="2">
                  <c:v>64</c:v>
                </c:pt>
                <c:pt idx="3">
                  <c:v>66</c:v>
                </c:pt>
                <c:pt idx="4">
                  <c:v>71</c:v>
                </c:pt>
                <c:pt idx="5">
                  <c:v>68</c:v>
                </c:pt>
                <c:pt idx="6">
                  <c:v>67</c:v>
                </c:pt>
                <c:pt idx="7">
                  <c:v>67</c:v>
                </c:pt>
                <c:pt idx="8">
                  <c:v>70</c:v>
                </c:pt>
                <c:pt idx="9">
                  <c:v>72.860000610351563</c:v>
                </c:pt>
                <c:pt idx="10">
                  <c:v>73.790000915527344</c:v>
                </c:pt>
                <c:pt idx="11">
                  <c:v>75</c:v>
                </c:pt>
                <c:pt idx="12">
                  <c:v>75</c:v>
                </c:pt>
                <c:pt idx="13">
                  <c:v>76.839996337890625</c:v>
                </c:pt>
                <c:pt idx="14">
                  <c:v>77.779998779296875</c:v>
                </c:pt>
                <c:pt idx="15">
                  <c:v>75.55999755859375</c:v>
                </c:pt>
                <c:pt idx="16">
                  <c:v>75</c:v>
                </c:pt>
                <c:pt idx="17">
                  <c:v>74.349999999999994</c:v>
                </c:pt>
                <c:pt idx="18">
                  <c:v>73.19</c:v>
                </c:pt>
              </c:numCache>
            </c:numRef>
          </c:val>
          <c:smooth val="0"/>
          <c:extLst>
            <c:ext xmlns:c16="http://schemas.microsoft.com/office/drawing/2014/chart" uri="{C3380CC4-5D6E-409C-BE32-E72D297353CC}">
              <c16:uniqueId val="{00000005-04DA-416F-8D0E-FE8670BC42A6}"/>
            </c:ext>
          </c:extLst>
        </c:ser>
        <c:ser>
          <c:idx val="2"/>
          <c:order val="2"/>
          <c:tx>
            <c:strRef>
              <c:f>'Trend over time in LTV and LTI'!$J$31</c:f>
              <c:strCache>
                <c:ptCount val="1"/>
                <c:pt idx="0">
                  <c:v>LTV FTB Median</c:v>
                </c:pt>
              </c:strCache>
            </c:strRef>
          </c:tx>
          <c:spPr>
            <a:ln w="28575" cap="rnd">
              <a:solidFill>
                <a:schemeClr val="accent1"/>
              </a:solidFill>
              <a:prstDash val="dash"/>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LTI'!$J$32:$J$50</c:f>
              <c:numCache>
                <c:formatCode>0</c:formatCode>
                <c:ptCount val="19"/>
                <c:pt idx="0">
                  <c:v>92</c:v>
                </c:pt>
                <c:pt idx="1">
                  <c:v>90</c:v>
                </c:pt>
                <c:pt idx="2">
                  <c:v>86</c:v>
                </c:pt>
                <c:pt idx="3">
                  <c:v>83</c:v>
                </c:pt>
                <c:pt idx="4">
                  <c:v>86</c:v>
                </c:pt>
                <c:pt idx="5">
                  <c:v>86</c:v>
                </c:pt>
                <c:pt idx="6">
                  <c:v>85</c:v>
                </c:pt>
                <c:pt idx="7">
                  <c:v>84</c:v>
                </c:pt>
                <c:pt idx="8">
                  <c:v>85</c:v>
                </c:pt>
                <c:pt idx="9">
                  <c:v>85</c:v>
                </c:pt>
                <c:pt idx="10">
                  <c:v>84.919998168945313</c:v>
                </c:pt>
                <c:pt idx="11">
                  <c:v>85.830001831054688</c:v>
                </c:pt>
                <c:pt idx="12">
                  <c:v>86.199996948242188</c:v>
                </c:pt>
                <c:pt idx="13">
                  <c:v>87.620002746582031</c:v>
                </c:pt>
                <c:pt idx="14">
                  <c:v>88</c:v>
                </c:pt>
                <c:pt idx="15">
                  <c:v>85.620002746582031</c:v>
                </c:pt>
                <c:pt idx="16">
                  <c:v>85.569999694824219</c:v>
                </c:pt>
                <c:pt idx="17">
                  <c:v>85.87</c:v>
                </c:pt>
                <c:pt idx="18">
                  <c:v>85</c:v>
                </c:pt>
              </c:numCache>
            </c:numRef>
          </c:val>
          <c:smooth val="0"/>
          <c:extLst>
            <c:ext xmlns:c16="http://schemas.microsoft.com/office/drawing/2014/chart" uri="{C3380CC4-5D6E-409C-BE32-E72D297353CC}">
              <c16:uniqueId val="{00000006-04DA-416F-8D0E-FE8670BC42A6}"/>
            </c:ext>
          </c:extLst>
        </c:ser>
        <c:ser>
          <c:idx val="3"/>
          <c:order val="3"/>
          <c:tx>
            <c:strRef>
              <c:f>'Trend over time in LTV and LTI'!$K$31</c:f>
              <c:strCache>
                <c:ptCount val="1"/>
                <c:pt idx="0">
                  <c:v>LTV FTB P75</c:v>
                </c:pt>
              </c:strCache>
            </c:strRef>
          </c:tx>
          <c:spPr>
            <a:ln w="28575" cap="rnd">
              <a:solidFill>
                <a:schemeClr val="accent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LTI'!$K$32:$K$50</c:f>
              <c:numCache>
                <c:formatCode>0</c:formatCode>
                <c:ptCount val="19"/>
                <c:pt idx="0">
                  <c:v>100</c:v>
                </c:pt>
                <c:pt idx="1">
                  <c:v>97</c:v>
                </c:pt>
                <c:pt idx="2">
                  <c:v>92</c:v>
                </c:pt>
                <c:pt idx="3">
                  <c:v>92</c:v>
                </c:pt>
                <c:pt idx="4">
                  <c:v>92</c:v>
                </c:pt>
                <c:pt idx="5">
                  <c:v>90</c:v>
                </c:pt>
                <c:pt idx="6">
                  <c:v>90</c:v>
                </c:pt>
                <c:pt idx="7">
                  <c:v>90</c:v>
                </c:pt>
                <c:pt idx="8">
                  <c:v>90</c:v>
                </c:pt>
                <c:pt idx="9">
                  <c:v>90</c:v>
                </c:pt>
                <c:pt idx="10">
                  <c:v>89.779998779296875</c:v>
                </c:pt>
                <c:pt idx="11">
                  <c:v>90</c:v>
                </c:pt>
                <c:pt idx="12">
                  <c:v>90</c:v>
                </c:pt>
                <c:pt idx="13">
                  <c:v>90</c:v>
                </c:pt>
                <c:pt idx="14">
                  <c:v>90</c:v>
                </c:pt>
                <c:pt idx="15">
                  <c:v>90</c:v>
                </c:pt>
                <c:pt idx="16">
                  <c:v>90</c:v>
                </c:pt>
                <c:pt idx="17">
                  <c:v>90</c:v>
                </c:pt>
                <c:pt idx="18">
                  <c:v>90</c:v>
                </c:pt>
              </c:numCache>
            </c:numRef>
          </c:val>
          <c:smooth val="0"/>
          <c:extLst>
            <c:ext xmlns:c16="http://schemas.microsoft.com/office/drawing/2014/chart" uri="{C3380CC4-5D6E-409C-BE32-E72D297353CC}">
              <c16:uniqueId val="{00000007-04DA-416F-8D0E-FE8670BC42A6}"/>
            </c:ext>
          </c:extLst>
        </c:ser>
        <c:ser>
          <c:idx val="4"/>
          <c:order val="4"/>
          <c:tx>
            <c:strRef>
              <c:f>'Trend over time in LTV and LTI'!$L$31</c:f>
              <c:strCache>
                <c:ptCount val="1"/>
                <c:pt idx="0">
                  <c:v>LTV FTB P90 </c:v>
                </c:pt>
              </c:strCache>
            </c:strRef>
          </c:tx>
          <c:spPr>
            <a:ln w="28575" cap="rnd">
              <a:solidFill>
                <a:schemeClr val="accent5"/>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LTI'!$L$32:$L$50</c:f>
              <c:numCache>
                <c:formatCode>0</c:formatCode>
                <c:ptCount val="19"/>
                <c:pt idx="0">
                  <c:v>100</c:v>
                </c:pt>
                <c:pt idx="1">
                  <c:v>100</c:v>
                </c:pt>
                <c:pt idx="2">
                  <c:v>100</c:v>
                </c:pt>
                <c:pt idx="3">
                  <c:v>92</c:v>
                </c:pt>
                <c:pt idx="4">
                  <c:v>92</c:v>
                </c:pt>
                <c:pt idx="5">
                  <c:v>92</c:v>
                </c:pt>
                <c:pt idx="6">
                  <c:v>92</c:v>
                </c:pt>
                <c:pt idx="7">
                  <c:v>92</c:v>
                </c:pt>
                <c:pt idx="8">
                  <c:v>92</c:v>
                </c:pt>
                <c:pt idx="9">
                  <c:v>90</c:v>
                </c:pt>
                <c:pt idx="10">
                  <c:v>90</c:v>
                </c:pt>
                <c:pt idx="11">
                  <c:v>90</c:v>
                </c:pt>
                <c:pt idx="12">
                  <c:v>90</c:v>
                </c:pt>
                <c:pt idx="13">
                  <c:v>90</c:v>
                </c:pt>
                <c:pt idx="14">
                  <c:v>90</c:v>
                </c:pt>
                <c:pt idx="15">
                  <c:v>90</c:v>
                </c:pt>
                <c:pt idx="16">
                  <c:v>90</c:v>
                </c:pt>
                <c:pt idx="17">
                  <c:v>90</c:v>
                </c:pt>
                <c:pt idx="18">
                  <c:v>90</c:v>
                </c:pt>
              </c:numCache>
            </c:numRef>
          </c:val>
          <c:smooth val="0"/>
          <c:extLst>
            <c:ext xmlns:c16="http://schemas.microsoft.com/office/drawing/2014/chart" uri="{C3380CC4-5D6E-409C-BE32-E72D297353CC}">
              <c16:uniqueId val="{00000008-04DA-416F-8D0E-FE8670BC42A6}"/>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LTI'!$M$31</c:f>
              <c:strCache>
                <c:ptCount val="1"/>
                <c:pt idx="0">
                  <c:v>LTI SSB P10</c:v>
                </c:pt>
              </c:strCache>
            </c:strRef>
          </c:tx>
          <c:spPr>
            <a:ln w="28575" cap="rnd">
              <a:solidFill>
                <a:schemeClr val="bg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LTI'!$M$32:$M$50</c:f>
              <c:numCache>
                <c:formatCode>0.0</c:formatCode>
                <c:ptCount val="19"/>
                <c:pt idx="0">
                  <c:v>1.31931</c:v>
                </c:pt>
                <c:pt idx="1">
                  <c:v>1.3333330000000001</c:v>
                </c:pt>
                <c:pt idx="2">
                  <c:v>1.1702779999999999</c:v>
                </c:pt>
                <c:pt idx="3">
                  <c:v>0.98239500000000002</c:v>
                </c:pt>
                <c:pt idx="4">
                  <c:v>1.016767</c:v>
                </c:pt>
                <c:pt idx="5">
                  <c:v>0.85119800000000001</c:v>
                </c:pt>
                <c:pt idx="6">
                  <c:v>0.83475100000000002</c:v>
                </c:pt>
                <c:pt idx="7">
                  <c:v>0.92600400000000005</c:v>
                </c:pt>
                <c:pt idx="8">
                  <c:v>0.93242800000000003</c:v>
                </c:pt>
                <c:pt idx="9">
                  <c:v>1.059999942779541</c:v>
                </c:pt>
                <c:pt idx="10">
                  <c:v>1.1699999570846558</c:v>
                </c:pt>
                <c:pt idx="11">
                  <c:v>1.2899999618530273</c:v>
                </c:pt>
                <c:pt idx="12">
                  <c:v>1.309999942779541</c:v>
                </c:pt>
                <c:pt idx="13">
                  <c:v>1.3200000524520874</c:v>
                </c:pt>
                <c:pt idx="14">
                  <c:v>1.3700000047683716</c:v>
                </c:pt>
                <c:pt idx="15">
                  <c:v>1.4299999475479126</c:v>
                </c:pt>
                <c:pt idx="16">
                  <c:v>1.5199999809265137</c:v>
                </c:pt>
                <c:pt idx="17">
                  <c:v>1.52</c:v>
                </c:pt>
                <c:pt idx="18">
                  <c:v>1.48</c:v>
                </c:pt>
              </c:numCache>
            </c:numRef>
          </c:val>
          <c:smooth val="0"/>
          <c:extLst>
            <c:ext xmlns:c16="http://schemas.microsoft.com/office/drawing/2014/chart" uri="{C3380CC4-5D6E-409C-BE32-E72D297353CC}">
              <c16:uniqueId val="{00000000-3E27-4642-B2A9-3DBFB81983DF}"/>
            </c:ext>
          </c:extLst>
        </c:ser>
        <c:ser>
          <c:idx val="1"/>
          <c:order val="1"/>
          <c:tx>
            <c:strRef>
              <c:f>'Trend over time in LTV and LTI'!$N$31</c:f>
              <c:strCache>
                <c:ptCount val="1"/>
                <c:pt idx="0">
                  <c:v>LTI SSB P25</c:v>
                </c:pt>
              </c:strCache>
            </c:strRef>
          </c:tx>
          <c:spPr>
            <a:ln w="28575" cap="rnd">
              <a:solidFill>
                <a:schemeClr val="tx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LTI'!$N$32:$N$50</c:f>
              <c:numCache>
                <c:formatCode>0.0</c:formatCode>
                <c:ptCount val="19"/>
                <c:pt idx="0">
                  <c:v>2.2623060000000002</c:v>
                </c:pt>
                <c:pt idx="1">
                  <c:v>2.303245</c:v>
                </c:pt>
                <c:pt idx="2">
                  <c:v>2.1548560000000001</c:v>
                </c:pt>
                <c:pt idx="3">
                  <c:v>1.8265690000000001</c:v>
                </c:pt>
                <c:pt idx="4">
                  <c:v>1.83714</c:v>
                </c:pt>
                <c:pt idx="5">
                  <c:v>1.4365479999999999</c:v>
                </c:pt>
                <c:pt idx="6">
                  <c:v>1.3839980000000001</c:v>
                </c:pt>
                <c:pt idx="7">
                  <c:v>1.446032</c:v>
                </c:pt>
                <c:pt idx="8">
                  <c:v>1.495652</c:v>
                </c:pt>
                <c:pt idx="9">
                  <c:v>1.6200000047683716</c:v>
                </c:pt>
                <c:pt idx="10">
                  <c:v>1.7300000190734863</c:v>
                </c:pt>
                <c:pt idx="11">
                  <c:v>1.8899999856948853</c:v>
                </c:pt>
                <c:pt idx="12">
                  <c:v>1.9099999666213989</c:v>
                </c:pt>
                <c:pt idx="13">
                  <c:v>1.9199999570846558</c:v>
                </c:pt>
                <c:pt idx="14">
                  <c:v>1.9500000476837158</c:v>
                </c:pt>
                <c:pt idx="15">
                  <c:v>2.0099999904632568</c:v>
                </c:pt>
                <c:pt idx="16">
                  <c:v>2.1400001049041748</c:v>
                </c:pt>
                <c:pt idx="17">
                  <c:v>2.12</c:v>
                </c:pt>
                <c:pt idx="18">
                  <c:v>2.0699999999999998</c:v>
                </c:pt>
              </c:numCache>
            </c:numRef>
          </c:val>
          <c:smooth val="0"/>
          <c:extLst>
            <c:ext xmlns:c16="http://schemas.microsoft.com/office/drawing/2014/chart" uri="{C3380CC4-5D6E-409C-BE32-E72D297353CC}">
              <c16:uniqueId val="{00000007-3E27-4642-B2A9-3DBFB81983DF}"/>
            </c:ext>
          </c:extLst>
        </c:ser>
        <c:ser>
          <c:idx val="2"/>
          <c:order val="2"/>
          <c:tx>
            <c:strRef>
              <c:f>'Trend over time in LTV and LTI'!$O$31</c:f>
              <c:strCache>
                <c:ptCount val="1"/>
                <c:pt idx="0">
                  <c:v>LTI SSB Median</c:v>
                </c:pt>
              </c:strCache>
            </c:strRef>
          </c:tx>
          <c:spPr>
            <a:ln w="28575" cap="rnd">
              <a:solidFill>
                <a:schemeClr val="accent1"/>
              </a:solidFill>
              <a:prstDash val="dash"/>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LTI'!$O$32:$O$50</c:f>
              <c:numCache>
                <c:formatCode>0.0</c:formatCode>
                <c:ptCount val="19"/>
                <c:pt idx="0">
                  <c:v>3.3741439999999998</c:v>
                </c:pt>
                <c:pt idx="1">
                  <c:v>3.454523</c:v>
                </c:pt>
                <c:pt idx="2">
                  <c:v>3.2959339999999999</c:v>
                </c:pt>
                <c:pt idx="3">
                  <c:v>2.9354840000000002</c:v>
                </c:pt>
                <c:pt idx="4">
                  <c:v>2.803776</c:v>
                </c:pt>
                <c:pt idx="5">
                  <c:v>2.1861090000000001</c:v>
                </c:pt>
                <c:pt idx="6">
                  <c:v>2.0155259999999999</c:v>
                </c:pt>
                <c:pt idx="7">
                  <c:v>2.0828220000000002</c:v>
                </c:pt>
                <c:pt idx="8">
                  <c:v>2.148917</c:v>
                </c:pt>
                <c:pt idx="9">
                  <c:v>2.2599999904632568</c:v>
                </c:pt>
                <c:pt idx="10">
                  <c:v>2.369999885559082</c:v>
                </c:pt>
                <c:pt idx="11">
                  <c:v>2.5299999713897705</c:v>
                </c:pt>
                <c:pt idx="12">
                  <c:v>2.5499999523162842</c:v>
                </c:pt>
                <c:pt idx="13">
                  <c:v>2.5699999332427979</c:v>
                </c:pt>
                <c:pt idx="14">
                  <c:v>2.5899999141693115</c:v>
                </c:pt>
                <c:pt idx="15">
                  <c:v>2.6600000858306885</c:v>
                </c:pt>
                <c:pt idx="16">
                  <c:v>2.8199999332427979</c:v>
                </c:pt>
                <c:pt idx="17">
                  <c:v>2.78</c:v>
                </c:pt>
                <c:pt idx="18">
                  <c:v>2.73</c:v>
                </c:pt>
              </c:numCache>
            </c:numRef>
          </c:val>
          <c:smooth val="0"/>
          <c:extLst>
            <c:ext xmlns:c16="http://schemas.microsoft.com/office/drawing/2014/chart" uri="{C3380CC4-5D6E-409C-BE32-E72D297353CC}">
              <c16:uniqueId val="{00000008-3E27-4642-B2A9-3DBFB81983DF}"/>
            </c:ext>
          </c:extLst>
        </c:ser>
        <c:ser>
          <c:idx val="3"/>
          <c:order val="3"/>
          <c:tx>
            <c:strRef>
              <c:f>'Trend over time in LTV and LTI'!$P$31</c:f>
              <c:strCache>
                <c:ptCount val="1"/>
                <c:pt idx="0">
                  <c:v>LTI SSB P75</c:v>
                </c:pt>
              </c:strCache>
            </c:strRef>
          </c:tx>
          <c:spPr>
            <a:ln w="28575" cap="rnd">
              <a:solidFill>
                <a:schemeClr val="accent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LTI'!$P$32:$P$50</c:f>
              <c:numCache>
                <c:formatCode>0.0</c:formatCode>
                <c:ptCount val="19"/>
                <c:pt idx="0">
                  <c:v>4.4715350000000003</c:v>
                </c:pt>
                <c:pt idx="1">
                  <c:v>4.538462</c:v>
                </c:pt>
                <c:pt idx="2">
                  <c:v>4.376728</c:v>
                </c:pt>
                <c:pt idx="3">
                  <c:v>4.035088</c:v>
                </c:pt>
                <c:pt idx="4">
                  <c:v>3.8133840000000001</c:v>
                </c:pt>
                <c:pt idx="5">
                  <c:v>2.9218709999999999</c:v>
                </c:pt>
                <c:pt idx="6">
                  <c:v>2.6920839999999999</c:v>
                </c:pt>
                <c:pt idx="7">
                  <c:v>2.745768</c:v>
                </c:pt>
                <c:pt idx="8">
                  <c:v>2.8229410000000001</c:v>
                </c:pt>
                <c:pt idx="9">
                  <c:v>2.9000000953674316</c:v>
                </c:pt>
                <c:pt idx="10">
                  <c:v>2.9800000190734863</c:v>
                </c:pt>
                <c:pt idx="11">
                  <c:v>3.119999885559082</c:v>
                </c:pt>
                <c:pt idx="12">
                  <c:v>3.1500000953674316</c:v>
                </c:pt>
                <c:pt idx="13">
                  <c:v>3.1700000762939453</c:v>
                </c:pt>
                <c:pt idx="14">
                  <c:v>3.1800000667572021</c:v>
                </c:pt>
                <c:pt idx="15">
                  <c:v>3.2400000095367432</c:v>
                </c:pt>
                <c:pt idx="16">
                  <c:v>3.3399999141693115</c:v>
                </c:pt>
                <c:pt idx="17">
                  <c:v>3.33</c:v>
                </c:pt>
                <c:pt idx="18">
                  <c:v>3.29</c:v>
                </c:pt>
              </c:numCache>
            </c:numRef>
          </c:val>
          <c:smooth val="0"/>
          <c:extLst>
            <c:ext xmlns:c16="http://schemas.microsoft.com/office/drawing/2014/chart" uri="{C3380CC4-5D6E-409C-BE32-E72D297353CC}">
              <c16:uniqueId val="{00000009-3E27-4642-B2A9-3DBFB81983DF}"/>
            </c:ext>
          </c:extLst>
        </c:ser>
        <c:ser>
          <c:idx val="4"/>
          <c:order val="4"/>
          <c:tx>
            <c:strRef>
              <c:f>'Trend over time in LTV and LTI'!$Q$31</c:f>
              <c:strCache>
                <c:ptCount val="1"/>
                <c:pt idx="0">
                  <c:v>LTI SSB P90 </c:v>
                </c:pt>
              </c:strCache>
            </c:strRef>
          </c:tx>
          <c:spPr>
            <a:ln w="28575" cap="rnd">
              <a:solidFill>
                <a:schemeClr val="accent5"/>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LTI'!$Q$32:$Q$50</c:f>
              <c:numCache>
                <c:formatCode>0.0</c:formatCode>
                <c:ptCount val="19"/>
                <c:pt idx="0">
                  <c:v>5.4646169999999996</c:v>
                </c:pt>
                <c:pt idx="1">
                  <c:v>5.5307820000000003</c:v>
                </c:pt>
                <c:pt idx="2">
                  <c:v>5.3293569999999999</c:v>
                </c:pt>
                <c:pt idx="3">
                  <c:v>5.0190739999999998</c:v>
                </c:pt>
                <c:pt idx="4">
                  <c:v>4.7269709999999998</c:v>
                </c:pt>
                <c:pt idx="5">
                  <c:v>3.6750780000000001</c:v>
                </c:pt>
                <c:pt idx="6">
                  <c:v>3.4279730000000002</c:v>
                </c:pt>
                <c:pt idx="7">
                  <c:v>3.4082840000000001</c:v>
                </c:pt>
                <c:pt idx="8">
                  <c:v>3.461401</c:v>
                </c:pt>
                <c:pt idx="9">
                  <c:v>3.4200000762939453</c:v>
                </c:pt>
                <c:pt idx="10">
                  <c:v>3.440000057220459</c:v>
                </c:pt>
                <c:pt idx="11">
                  <c:v>3.4900000095367432</c:v>
                </c:pt>
                <c:pt idx="12">
                  <c:v>3.4800000190734863</c:v>
                </c:pt>
                <c:pt idx="13">
                  <c:v>3.4900000095367432</c:v>
                </c:pt>
                <c:pt idx="14">
                  <c:v>3.4900000095367432</c:v>
                </c:pt>
                <c:pt idx="15">
                  <c:v>3.4900000095367432</c:v>
                </c:pt>
                <c:pt idx="16">
                  <c:v>3.5</c:v>
                </c:pt>
                <c:pt idx="17">
                  <c:v>3.5</c:v>
                </c:pt>
                <c:pt idx="18">
                  <c:v>3.5</c:v>
                </c:pt>
              </c:numCache>
            </c:numRef>
          </c:val>
          <c:smooth val="0"/>
          <c:extLst>
            <c:ext xmlns:c16="http://schemas.microsoft.com/office/drawing/2014/chart" uri="{C3380CC4-5D6E-409C-BE32-E72D297353CC}">
              <c16:uniqueId val="{0000000A-3E27-4642-B2A9-3DBFB81983DF}"/>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max val="7"/>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'Trend over time in LTV and LTI'!$R$31</c:f>
              <c:strCache>
                <c:ptCount val="1"/>
                <c:pt idx="0">
                  <c:v>LTV SSB P10</c:v>
                </c:pt>
              </c:strCache>
            </c:strRef>
          </c:tx>
          <c:spPr>
            <a:ln w="28575" cap="rnd">
              <a:solidFill>
                <a:srgbClr val="09506C"/>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LTI'!$R$32:$R$50</c:f>
              <c:numCache>
                <c:formatCode>0</c:formatCode>
                <c:ptCount val="19"/>
                <c:pt idx="0">
                  <c:v>24</c:v>
                </c:pt>
                <c:pt idx="1">
                  <c:v>26</c:v>
                </c:pt>
                <c:pt idx="2">
                  <c:v>23</c:v>
                </c:pt>
                <c:pt idx="3">
                  <c:v>20</c:v>
                </c:pt>
                <c:pt idx="4">
                  <c:v>23</c:v>
                </c:pt>
                <c:pt idx="5">
                  <c:v>20</c:v>
                </c:pt>
                <c:pt idx="6">
                  <c:v>21</c:v>
                </c:pt>
                <c:pt idx="7">
                  <c:v>26</c:v>
                </c:pt>
                <c:pt idx="8">
                  <c:v>27</c:v>
                </c:pt>
                <c:pt idx="9">
                  <c:v>30</c:v>
                </c:pt>
                <c:pt idx="10">
                  <c:v>31.559999465942383</c:v>
                </c:pt>
                <c:pt idx="11">
                  <c:v>33.919998168945313</c:v>
                </c:pt>
                <c:pt idx="12">
                  <c:v>34.090000152587891</c:v>
                </c:pt>
                <c:pt idx="13">
                  <c:v>34.950000762939453</c:v>
                </c:pt>
                <c:pt idx="14">
                  <c:v>35.900001525878906</c:v>
                </c:pt>
                <c:pt idx="15">
                  <c:v>35.689998626708984</c:v>
                </c:pt>
                <c:pt idx="16">
                  <c:v>35.840000152587891</c:v>
                </c:pt>
                <c:pt idx="17">
                  <c:v>35.56</c:v>
                </c:pt>
                <c:pt idx="18">
                  <c:v>34.71</c:v>
                </c:pt>
              </c:numCache>
            </c:numRef>
          </c:val>
          <c:smooth val="0"/>
          <c:extLst>
            <c:ext xmlns:c16="http://schemas.microsoft.com/office/drawing/2014/chart" uri="{C3380CC4-5D6E-409C-BE32-E72D297353CC}">
              <c16:uniqueId val="{00000000-A104-48FD-AEB4-7D28ED5B1D38}"/>
            </c:ext>
          </c:extLst>
        </c:ser>
        <c:ser>
          <c:idx val="1"/>
          <c:order val="1"/>
          <c:tx>
            <c:strRef>
              <c:f>'Trend over time in LTV and LTI'!$S$31</c:f>
              <c:strCache>
                <c:ptCount val="1"/>
                <c:pt idx="0">
                  <c:v>LTV SSB P25</c:v>
                </c:pt>
              </c:strCache>
            </c:strRef>
          </c:tx>
          <c:spPr>
            <a:ln w="28575" cap="rnd">
              <a:solidFill>
                <a:srgbClr val="7C477E"/>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LTI'!$S$32:$S$50</c:f>
              <c:numCache>
                <c:formatCode>0</c:formatCode>
                <c:ptCount val="19"/>
                <c:pt idx="0">
                  <c:v>41</c:v>
                </c:pt>
                <c:pt idx="1">
                  <c:v>44</c:v>
                </c:pt>
                <c:pt idx="2">
                  <c:v>41</c:v>
                </c:pt>
                <c:pt idx="3">
                  <c:v>37</c:v>
                </c:pt>
                <c:pt idx="4">
                  <c:v>41</c:v>
                </c:pt>
                <c:pt idx="5">
                  <c:v>39</c:v>
                </c:pt>
                <c:pt idx="6">
                  <c:v>43</c:v>
                </c:pt>
                <c:pt idx="7">
                  <c:v>48</c:v>
                </c:pt>
                <c:pt idx="8">
                  <c:v>48</c:v>
                </c:pt>
                <c:pt idx="9">
                  <c:v>47.619998931884766</c:v>
                </c:pt>
                <c:pt idx="10">
                  <c:v>49.689998626708984</c:v>
                </c:pt>
                <c:pt idx="11">
                  <c:v>50.779998779296875</c:v>
                </c:pt>
                <c:pt idx="12">
                  <c:v>50.380001068115234</c:v>
                </c:pt>
                <c:pt idx="13">
                  <c:v>51.669998168945313</c:v>
                </c:pt>
                <c:pt idx="14">
                  <c:v>52.189998626708984</c:v>
                </c:pt>
                <c:pt idx="15">
                  <c:v>50.849998474121094</c:v>
                </c:pt>
                <c:pt idx="16">
                  <c:v>51.090000152587891</c:v>
                </c:pt>
                <c:pt idx="17">
                  <c:v>50.63</c:v>
                </c:pt>
                <c:pt idx="18">
                  <c:v>49.8</c:v>
                </c:pt>
              </c:numCache>
            </c:numRef>
          </c:val>
          <c:smooth val="0"/>
          <c:extLst>
            <c:ext xmlns:c16="http://schemas.microsoft.com/office/drawing/2014/chart" uri="{C3380CC4-5D6E-409C-BE32-E72D297353CC}">
              <c16:uniqueId val="{00000005-A104-48FD-AEB4-7D28ED5B1D38}"/>
            </c:ext>
          </c:extLst>
        </c:ser>
        <c:ser>
          <c:idx val="2"/>
          <c:order val="2"/>
          <c:tx>
            <c:strRef>
              <c:f>'Trend over time in LTV and LTI'!$T$31</c:f>
              <c:strCache>
                <c:ptCount val="1"/>
                <c:pt idx="0">
                  <c:v>LTV SSB Median</c:v>
                </c:pt>
              </c:strCache>
            </c:strRef>
          </c:tx>
          <c:spPr>
            <a:ln w="28575" cap="rnd">
              <a:solidFill>
                <a:srgbClr val="0083A0"/>
              </a:solidFill>
              <a:prstDash val="dash"/>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LTI'!$T$32:$T$50</c:f>
              <c:numCache>
                <c:formatCode>0</c:formatCode>
                <c:ptCount val="19"/>
                <c:pt idx="0">
                  <c:v>64</c:v>
                </c:pt>
                <c:pt idx="1">
                  <c:v>66</c:v>
                </c:pt>
                <c:pt idx="2">
                  <c:v>63</c:v>
                </c:pt>
                <c:pt idx="3">
                  <c:v>60</c:v>
                </c:pt>
                <c:pt idx="4">
                  <c:v>66</c:v>
                </c:pt>
                <c:pt idx="5">
                  <c:v>64</c:v>
                </c:pt>
                <c:pt idx="6">
                  <c:v>70</c:v>
                </c:pt>
                <c:pt idx="7">
                  <c:v>73</c:v>
                </c:pt>
                <c:pt idx="8">
                  <c:v>71</c:v>
                </c:pt>
                <c:pt idx="9">
                  <c:v>67.279998779296875</c:v>
                </c:pt>
                <c:pt idx="10">
                  <c:v>69.400001525878906</c:v>
                </c:pt>
                <c:pt idx="11">
                  <c:v>70</c:v>
                </c:pt>
                <c:pt idx="12">
                  <c:v>69.239997863769531</c:v>
                </c:pt>
                <c:pt idx="13">
                  <c:v>70.129997253417969</c:v>
                </c:pt>
                <c:pt idx="14">
                  <c:v>70</c:v>
                </c:pt>
                <c:pt idx="15">
                  <c:v>68.139999389648438</c:v>
                </c:pt>
                <c:pt idx="16">
                  <c:v>68.180000305175781</c:v>
                </c:pt>
                <c:pt idx="17">
                  <c:v>67.56</c:v>
                </c:pt>
                <c:pt idx="18">
                  <c:v>66.67</c:v>
                </c:pt>
              </c:numCache>
            </c:numRef>
          </c:val>
          <c:smooth val="0"/>
          <c:extLst>
            <c:ext xmlns:c16="http://schemas.microsoft.com/office/drawing/2014/chart" uri="{C3380CC4-5D6E-409C-BE32-E72D297353CC}">
              <c16:uniqueId val="{00000006-A104-48FD-AEB4-7D28ED5B1D38}"/>
            </c:ext>
          </c:extLst>
        </c:ser>
        <c:ser>
          <c:idx val="3"/>
          <c:order val="3"/>
          <c:tx>
            <c:strRef>
              <c:f>'Trend over time in LTV and LTI'!$U$31</c:f>
              <c:strCache>
                <c:ptCount val="1"/>
                <c:pt idx="0">
                  <c:v>LTV SSB P75</c:v>
                </c:pt>
              </c:strCache>
            </c:strRef>
          </c:tx>
          <c:spPr>
            <a:ln w="28575" cap="rnd">
              <a:solidFill>
                <a:srgbClr val="5EC5C2"/>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LTI'!$U$32:$U$50</c:f>
              <c:numCache>
                <c:formatCode>0</c:formatCode>
                <c:ptCount val="19"/>
                <c:pt idx="0">
                  <c:v>83</c:v>
                </c:pt>
                <c:pt idx="1">
                  <c:v>83</c:v>
                </c:pt>
                <c:pt idx="2">
                  <c:v>81</c:v>
                </c:pt>
                <c:pt idx="3">
                  <c:v>81</c:v>
                </c:pt>
                <c:pt idx="4">
                  <c:v>85</c:v>
                </c:pt>
                <c:pt idx="5">
                  <c:v>85</c:v>
                </c:pt>
                <c:pt idx="6">
                  <c:v>87</c:v>
                </c:pt>
                <c:pt idx="7">
                  <c:v>88</c:v>
                </c:pt>
                <c:pt idx="8">
                  <c:v>87</c:v>
                </c:pt>
                <c:pt idx="9">
                  <c:v>79.849998474121094</c:v>
                </c:pt>
                <c:pt idx="10">
                  <c:v>80</c:v>
                </c:pt>
                <c:pt idx="11">
                  <c:v>80</c:v>
                </c:pt>
                <c:pt idx="12">
                  <c:v>80</c:v>
                </c:pt>
                <c:pt idx="13">
                  <c:v>80</c:v>
                </c:pt>
                <c:pt idx="14">
                  <c:v>80</c:v>
                </c:pt>
                <c:pt idx="15">
                  <c:v>79.480003356933594</c:v>
                </c:pt>
                <c:pt idx="16">
                  <c:v>79.900001525878906</c:v>
                </c:pt>
                <c:pt idx="17">
                  <c:v>80</c:v>
                </c:pt>
                <c:pt idx="18">
                  <c:v>80</c:v>
                </c:pt>
              </c:numCache>
            </c:numRef>
          </c:val>
          <c:smooth val="0"/>
          <c:extLst>
            <c:ext xmlns:c16="http://schemas.microsoft.com/office/drawing/2014/chart" uri="{C3380CC4-5D6E-409C-BE32-E72D297353CC}">
              <c16:uniqueId val="{00000007-A104-48FD-AEB4-7D28ED5B1D38}"/>
            </c:ext>
          </c:extLst>
        </c:ser>
        <c:ser>
          <c:idx val="4"/>
          <c:order val="4"/>
          <c:tx>
            <c:strRef>
              <c:f>'Trend over time in LTV and LTI'!$V$31</c:f>
              <c:strCache>
                <c:ptCount val="1"/>
                <c:pt idx="0">
                  <c:v>LTV SSB P90 </c:v>
                </c:pt>
              </c:strCache>
            </c:strRef>
          </c:tx>
          <c:spPr>
            <a:ln w="28575" cap="rnd">
              <a:solidFill>
                <a:srgbClr val="D12E7C"/>
              </a:solidFill>
              <a:round/>
            </a:ln>
            <a:effectLst/>
          </c:spPr>
          <c:marker>
            <c:symbol val="none"/>
          </c:marker>
          <c:cat>
            <c:strRef>
              <c:f>'Trend over time in LTV and LTI'!$B$32:$B$50</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 H1 </c:v>
                </c:pt>
              </c:strCache>
            </c:strRef>
          </c:cat>
          <c:val>
            <c:numRef>
              <c:f>'Trend over time in LTV and LTI'!$V$32:$V$50</c:f>
              <c:numCache>
                <c:formatCode>0</c:formatCode>
                <c:ptCount val="19"/>
                <c:pt idx="0">
                  <c:v>92</c:v>
                </c:pt>
                <c:pt idx="1">
                  <c:v>92</c:v>
                </c:pt>
                <c:pt idx="2">
                  <c:v>92</c:v>
                </c:pt>
                <c:pt idx="3">
                  <c:v>92</c:v>
                </c:pt>
                <c:pt idx="4">
                  <c:v>92</c:v>
                </c:pt>
                <c:pt idx="5">
                  <c:v>92</c:v>
                </c:pt>
                <c:pt idx="6">
                  <c:v>92</c:v>
                </c:pt>
                <c:pt idx="7">
                  <c:v>91</c:v>
                </c:pt>
                <c:pt idx="8">
                  <c:v>90</c:v>
                </c:pt>
                <c:pt idx="9">
                  <c:v>84.510002136230469</c:v>
                </c:pt>
                <c:pt idx="10">
                  <c:v>81.099998474121094</c:v>
                </c:pt>
                <c:pt idx="11">
                  <c:v>85</c:v>
                </c:pt>
                <c:pt idx="12">
                  <c:v>82.699996948242188</c:v>
                </c:pt>
                <c:pt idx="13">
                  <c:v>84.19000244140625</c:v>
                </c:pt>
                <c:pt idx="14">
                  <c:v>80</c:v>
                </c:pt>
                <c:pt idx="15">
                  <c:v>80</c:v>
                </c:pt>
                <c:pt idx="16">
                  <c:v>80</c:v>
                </c:pt>
                <c:pt idx="17">
                  <c:v>89.86</c:v>
                </c:pt>
                <c:pt idx="18">
                  <c:v>90</c:v>
                </c:pt>
              </c:numCache>
            </c:numRef>
          </c:val>
          <c:smooth val="0"/>
          <c:extLst>
            <c:ext xmlns:c16="http://schemas.microsoft.com/office/drawing/2014/chart" uri="{C3380CC4-5D6E-409C-BE32-E72D297353CC}">
              <c16:uniqueId val="{00000008-A104-48FD-AEB4-7D28ED5B1D3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max val="12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majorUnit val="20"/>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83820</xdr:colOff>
      <xdr:row>3</xdr:row>
      <xdr:rowOff>110490</xdr:rowOff>
    </xdr:from>
    <xdr:to>
      <xdr:col>8</xdr:col>
      <xdr:colOff>617220</xdr:colOff>
      <xdr:row>20</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635000</xdr:colOff>
      <xdr:row>3</xdr:row>
      <xdr:rowOff>97814</xdr:rowOff>
    </xdr:from>
    <xdr:to>
      <xdr:col>8</xdr:col>
      <xdr:colOff>400050</xdr:colOff>
      <xdr:row>23</xdr:row>
      <xdr:rowOff>25779</xdr:rowOff>
    </xdr:to>
    <xdr:pic>
      <xdr:nvPicPr>
        <xdr:cNvPr id="3" name="Picture 2"/>
        <xdr:cNvPicPr>
          <a:picLocks noChangeAspect="1"/>
        </xdr:cNvPicPr>
      </xdr:nvPicPr>
      <xdr:blipFill>
        <a:blip xmlns:r="http://schemas.openxmlformats.org/officeDocument/2006/relationships" r:embed="rId1"/>
        <a:stretch>
          <a:fillRect/>
        </a:stretch>
      </xdr:blipFill>
      <xdr:spPr>
        <a:xfrm>
          <a:off x="2133600" y="548664"/>
          <a:ext cx="4260850" cy="2868015"/>
        </a:xfrm>
        <a:prstGeom prst="rect">
          <a:avLst/>
        </a:prstGeom>
      </xdr:spPr>
    </xdr:pic>
    <xdr:clientData/>
  </xdr:twoCellAnchor>
  <xdr:twoCellAnchor editAs="oneCell">
    <xdr:from>
      <xdr:col>16</xdr:col>
      <xdr:colOff>577850</xdr:colOff>
      <xdr:row>3</xdr:row>
      <xdr:rowOff>110765</xdr:rowOff>
    </xdr:from>
    <xdr:to>
      <xdr:col>21</xdr:col>
      <xdr:colOff>325708</xdr:colOff>
      <xdr:row>23</xdr:row>
      <xdr:rowOff>43460</xdr:rowOff>
    </xdr:to>
    <xdr:pic>
      <xdr:nvPicPr>
        <xdr:cNvPr id="5" name="Picture 4"/>
        <xdr:cNvPicPr>
          <a:picLocks noChangeAspect="1"/>
        </xdr:cNvPicPr>
      </xdr:nvPicPr>
      <xdr:blipFill>
        <a:blip xmlns:r="http://schemas.openxmlformats.org/officeDocument/2006/relationships" r:embed="rId2"/>
        <a:stretch>
          <a:fillRect/>
        </a:stretch>
      </xdr:blipFill>
      <xdr:spPr>
        <a:xfrm>
          <a:off x="19983450" y="561615"/>
          <a:ext cx="3824558" cy="28727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444500</xdr:colOff>
      <xdr:row>4</xdr:row>
      <xdr:rowOff>17246</xdr:rowOff>
    </xdr:from>
    <xdr:to>
      <xdr:col>8</xdr:col>
      <xdr:colOff>427305</xdr:colOff>
      <xdr:row>22</xdr:row>
      <xdr:rowOff>170459</xdr:rowOff>
    </xdr:to>
    <xdr:pic>
      <xdr:nvPicPr>
        <xdr:cNvPr id="3" name="Picture 2"/>
        <xdr:cNvPicPr>
          <a:picLocks noChangeAspect="1"/>
        </xdr:cNvPicPr>
      </xdr:nvPicPr>
      <xdr:blipFill>
        <a:blip xmlns:r="http://schemas.openxmlformats.org/officeDocument/2006/relationships" r:embed="rId1"/>
        <a:stretch>
          <a:fillRect/>
        </a:stretch>
      </xdr:blipFill>
      <xdr:spPr>
        <a:xfrm>
          <a:off x="1943100" y="747496"/>
          <a:ext cx="4478605" cy="3359963"/>
        </a:xfrm>
        <a:prstGeom prst="rect">
          <a:avLst/>
        </a:prstGeom>
      </xdr:spPr>
    </xdr:pic>
    <xdr:clientData/>
  </xdr:twoCellAnchor>
  <xdr:twoCellAnchor editAs="oneCell">
    <xdr:from>
      <xdr:col>16</xdr:col>
      <xdr:colOff>381000</xdr:colOff>
      <xdr:row>3</xdr:row>
      <xdr:rowOff>68264</xdr:rowOff>
    </xdr:from>
    <xdr:to>
      <xdr:col>22</xdr:col>
      <xdr:colOff>298449</xdr:colOff>
      <xdr:row>23</xdr:row>
      <xdr:rowOff>56379</xdr:rowOff>
    </xdr:to>
    <xdr:pic>
      <xdr:nvPicPr>
        <xdr:cNvPr id="5" name="Picture 4"/>
        <xdr:cNvPicPr>
          <a:picLocks noChangeAspect="1"/>
        </xdr:cNvPicPr>
      </xdr:nvPicPr>
      <xdr:blipFill>
        <a:blip xmlns:r="http://schemas.openxmlformats.org/officeDocument/2006/relationships" r:embed="rId2"/>
        <a:stretch>
          <a:fillRect/>
        </a:stretch>
      </xdr:blipFill>
      <xdr:spPr>
        <a:xfrm>
          <a:off x="18859500" y="614364"/>
          <a:ext cx="4718049" cy="3556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325120</xdr:colOff>
      <xdr:row>3</xdr:row>
      <xdr:rowOff>101600</xdr:rowOff>
    </xdr:from>
    <xdr:to>
      <xdr:col>6</xdr:col>
      <xdr:colOff>762000</xdr:colOff>
      <xdr:row>22</xdr:row>
      <xdr:rowOff>69850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4</xdr:row>
      <xdr:rowOff>2540</xdr:rowOff>
    </xdr:from>
    <xdr:to>
      <xdr:col>13</xdr:col>
      <xdr:colOff>869950</xdr:colOff>
      <xdr:row>22</xdr:row>
      <xdr:rowOff>69850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152400</xdr:colOff>
      <xdr:row>3</xdr:row>
      <xdr:rowOff>88900</xdr:rowOff>
    </xdr:from>
    <xdr:to>
      <xdr:col>20</xdr:col>
      <xdr:colOff>746760</xdr:colOff>
      <xdr:row>22</xdr:row>
      <xdr:rowOff>50800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129540</xdr:colOff>
      <xdr:row>3</xdr:row>
      <xdr:rowOff>82550</xdr:rowOff>
    </xdr:from>
    <xdr:to>
      <xdr:col>27</xdr:col>
      <xdr:colOff>679450</xdr:colOff>
      <xdr:row>23</xdr:row>
      <xdr:rowOff>88900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529851</xdr:colOff>
      <xdr:row>4</xdr:row>
      <xdr:rowOff>69850</xdr:rowOff>
    </xdr:from>
    <xdr:to>
      <xdr:col>7</xdr:col>
      <xdr:colOff>577850</xdr:colOff>
      <xdr:row>23</xdr:row>
      <xdr:rowOff>84748</xdr:rowOff>
    </xdr:to>
    <xdr:pic>
      <xdr:nvPicPr>
        <xdr:cNvPr id="2" name="Picture 1"/>
        <xdr:cNvPicPr>
          <a:picLocks noChangeAspect="1"/>
        </xdr:cNvPicPr>
      </xdr:nvPicPr>
      <xdr:blipFill>
        <a:blip xmlns:r="http://schemas.openxmlformats.org/officeDocument/2006/relationships" r:embed="rId1"/>
        <a:stretch>
          <a:fillRect/>
        </a:stretch>
      </xdr:blipFill>
      <xdr:spPr>
        <a:xfrm>
          <a:off x="1279151" y="673100"/>
          <a:ext cx="4543799" cy="2789848"/>
        </a:xfrm>
        <a:prstGeom prst="rect">
          <a:avLst/>
        </a:prstGeom>
      </xdr:spPr>
    </xdr:pic>
    <xdr:clientData/>
  </xdr:twoCellAnchor>
  <xdr:twoCellAnchor editAs="oneCell">
    <xdr:from>
      <xdr:col>10</xdr:col>
      <xdr:colOff>107950</xdr:colOff>
      <xdr:row>4</xdr:row>
      <xdr:rowOff>133349</xdr:rowOff>
    </xdr:from>
    <xdr:to>
      <xdr:col>15</xdr:col>
      <xdr:colOff>628650</xdr:colOff>
      <xdr:row>23</xdr:row>
      <xdr:rowOff>75276</xdr:rowOff>
    </xdr:to>
    <xdr:pic>
      <xdr:nvPicPr>
        <xdr:cNvPr id="4" name="Picture 3"/>
        <xdr:cNvPicPr>
          <a:picLocks noChangeAspect="1"/>
        </xdr:cNvPicPr>
      </xdr:nvPicPr>
      <xdr:blipFill>
        <a:blip xmlns:r="http://schemas.openxmlformats.org/officeDocument/2006/relationships" r:embed="rId2"/>
        <a:stretch>
          <a:fillRect/>
        </a:stretch>
      </xdr:blipFill>
      <xdr:spPr>
        <a:xfrm>
          <a:off x="7600950" y="736599"/>
          <a:ext cx="4267200" cy="2716877"/>
        </a:xfrm>
        <a:prstGeom prst="rect">
          <a:avLst/>
        </a:prstGeom>
      </xdr:spPr>
    </xdr:pic>
    <xdr:clientData/>
  </xdr:twoCellAnchor>
</xdr:wsDr>
</file>

<file path=xl/theme/theme1.xml><?xml version="1.0" encoding="utf-8"?>
<a:theme xmlns:a="http://schemas.openxmlformats.org/drawingml/2006/main" name="CB_Numbered_Presentation">
  <a:themeElements>
    <a:clrScheme name="CentralBank_MasterColours">
      <a:dk1>
        <a:sysClr val="windowText" lastClr="000000"/>
      </a:dk1>
      <a:lt1>
        <a:sysClr val="window" lastClr="FFFFFF"/>
      </a:lt1>
      <a:dk2>
        <a:srgbClr val="7C477E"/>
      </a:dk2>
      <a:lt2>
        <a:srgbClr val="09506C"/>
      </a:lt2>
      <a:accent1>
        <a:srgbClr val="0083A0"/>
      </a:accent1>
      <a:accent2>
        <a:srgbClr val="5EC5C2"/>
      </a:accent2>
      <a:accent3>
        <a:srgbClr val="D4E388"/>
      </a:accent3>
      <a:accent4>
        <a:srgbClr val="007DC3"/>
      </a:accent4>
      <a:accent5>
        <a:srgbClr val="D12E7C"/>
      </a:accent5>
      <a:accent6>
        <a:srgbClr val="F57E20"/>
      </a:accent6>
      <a:hlink>
        <a:srgbClr val="007DC3"/>
      </a:hlink>
      <a:folHlink>
        <a:srgbClr val="7C477E"/>
      </a:folHlink>
    </a:clrScheme>
    <a:fontScheme name="CentralBank_MasterFonts">
      <a:majorFont>
        <a:latin typeface="Lato"/>
        <a:ea typeface=""/>
        <a:cs typeface=""/>
      </a:majorFont>
      <a:minorFont>
        <a:latin typeface="Lato"/>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CB_Numbered_Presentation" id="{CCE3F5F9-378C-4649-9581-9FE61E0091FA}" vid="{2F170110-677F-4DAF-80C9-B8D3C353D0A1}"/>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centralbank.ie/financial-system/financial-stability/macro-prudential-policy/mortgage-measures/mortgage-measures-framework-review-public-engagement" TargetMode="Externa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pageSetUpPr autoPageBreaks="0"/>
  </sheetPr>
  <dimension ref="B2:P16"/>
  <sheetViews>
    <sheetView tabSelected="1" zoomScale="130" zoomScaleNormal="130" workbookViewId="0"/>
  </sheetViews>
  <sheetFormatPr defaultColWidth="9.109375" defaultRowHeight="12" x14ac:dyDescent="0.2"/>
  <cols>
    <col min="1" max="1" width="3.6640625" style="133" customWidth="1"/>
    <col min="2" max="2" width="9" style="133" customWidth="1"/>
    <col min="3" max="16384" width="9.109375" style="133"/>
  </cols>
  <sheetData>
    <row r="2" spans="2:16" ht="12.75" thickBot="1" x14ac:dyDescent="0.25"/>
    <row r="3" spans="2:16" ht="12.75" thickBot="1" x14ac:dyDescent="0.25">
      <c r="B3" s="158" t="s">
        <v>187</v>
      </c>
      <c r="C3" s="159"/>
      <c r="D3" s="159"/>
      <c r="E3" s="159"/>
      <c r="F3" s="159"/>
      <c r="G3" s="159"/>
      <c r="H3" s="159"/>
      <c r="I3" s="159"/>
      <c r="J3" s="159"/>
      <c r="K3" s="159"/>
      <c r="L3" s="159"/>
      <c r="M3" s="159"/>
      <c r="N3" s="159"/>
      <c r="O3" s="159"/>
      <c r="P3" s="160"/>
    </row>
    <row r="4" spans="2:16" ht="22.5" customHeight="1" x14ac:dyDescent="0.2">
      <c r="B4" s="161" t="s">
        <v>186</v>
      </c>
      <c r="C4" s="162"/>
      <c r="D4" s="162"/>
      <c r="E4" s="162"/>
      <c r="F4" s="162"/>
      <c r="G4" s="162"/>
      <c r="H4" s="162"/>
      <c r="I4" s="162"/>
      <c r="J4" s="162"/>
      <c r="K4" s="162"/>
      <c r="L4" s="162"/>
      <c r="M4" s="162"/>
      <c r="N4" s="162"/>
      <c r="O4" s="162"/>
      <c r="P4" s="163"/>
    </row>
    <row r="5" spans="2:16" ht="22.5" customHeight="1" x14ac:dyDescent="0.2">
      <c r="B5" s="155" t="s">
        <v>214</v>
      </c>
      <c r="C5" s="156"/>
      <c r="D5" s="156"/>
      <c r="E5" s="156"/>
      <c r="F5" s="156"/>
      <c r="G5" s="156"/>
      <c r="H5" s="156"/>
      <c r="I5" s="156"/>
      <c r="J5" s="156"/>
      <c r="K5" s="156"/>
      <c r="L5" s="156"/>
      <c r="M5" s="156"/>
      <c r="N5" s="156"/>
      <c r="O5" s="156"/>
      <c r="P5" s="157"/>
    </row>
    <row r="6" spans="2:16" ht="22.5" customHeight="1" x14ac:dyDescent="0.2">
      <c r="B6" s="155" t="s">
        <v>185</v>
      </c>
      <c r="C6" s="156"/>
      <c r="D6" s="156"/>
      <c r="E6" s="156"/>
      <c r="F6" s="156"/>
      <c r="G6" s="156"/>
      <c r="H6" s="156"/>
      <c r="I6" s="156"/>
      <c r="J6" s="156"/>
      <c r="K6" s="156"/>
      <c r="L6" s="156"/>
      <c r="M6" s="156"/>
      <c r="N6" s="156"/>
      <c r="O6" s="156"/>
      <c r="P6" s="157"/>
    </row>
    <row r="7" spans="2:16" ht="22.5" customHeight="1" x14ac:dyDescent="0.2">
      <c r="B7" s="149" t="s">
        <v>215</v>
      </c>
      <c r="C7" s="150"/>
      <c r="D7" s="150"/>
      <c r="E7" s="150"/>
      <c r="F7" s="150"/>
      <c r="G7" s="150"/>
      <c r="H7" s="150"/>
      <c r="I7" s="150"/>
      <c r="J7" s="150"/>
      <c r="K7" s="150"/>
      <c r="L7" s="150"/>
      <c r="M7" s="150"/>
      <c r="N7" s="150"/>
      <c r="O7" s="150"/>
      <c r="P7" s="151"/>
    </row>
    <row r="8" spans="2:16" ht="22.5" customHeight="1" x14ac:dyDescent="0.2">
      <c r="B8" s="155" t="s">
        <v>220</v>
      </c>
      <c r="C8" s="156"/>
      <c r="D8" s="156"/>
      <c r="E8" s="156"/>
      <c r="F8" s="156"/>
      <c r="G8" s="156"/>
      <c r="H8" s="156"/>
      <c r="I8" s="156"/>
      <c r="J8" s="156"/>
      <c r="K8" s="156"/>
      <c r="L8" s="156"/>
      <c r="M8" s="156"/>
      <c r="N8" s="156"/>
      <c r="O8" s="156"/>
      <c r="P8" s="157"/>
    </row>
    <row r="9" spans="2:16" ht="22.5" customHeight="1" x14ac:dyDescent="0.2">
      <c r="B9" s="155" t="s">
        <v>221</v>
      </c>
      <c r="C9" s="156"/>
      <c r="D9" s="156"/>
      <c r="E9" s="156"/>
      <c r="F9" s="156"/>
      <c r="G9" s="156"/>
      <c r="H9" s="156"/>
      <c r="I9" s="156"/>
      <c r="J9" s="156"/>
      <c r="K9" s="156"/>
      <c r="L9" s="156"/>
      <c r="M9" s="156"/>
      <c r="N9" s="156"/>
      <c r="O9" s="156"/>
      <c r="P9" s="157"/>
    </row>
    <row r="10" spans="2:16" ht="22.5" customHeight="1" x14ac:dyDescent="0.2">
      <c r="B10" s="149" t="s">
        <v>219</v>
      </c>
      <c r="C10" s="150"/>
      <c r="D10" s="150"/>
      <c r="E10" s="150"/>
      <c r="F10" s="150"/>
      <c r="G10" s="150"/>
      <c r="H10" s="150"/>
      <c r="I10" s="150"/>
      <c r="J10" s="150"/>
      <c r="K10" s="150"/>
      <c r="L10" s="150"/>
      <c r="M10" s="150"/>
      <c r="N10" s="150"/>
      <c r="O10" s="150"/>
      <c r="P10" s="151"/>
    </row>
    <row r="11" spans="2:16" ht="33.950000000000003" customHeight="1" x14ac:dyDescent="0.2">
      <c r="B11" s="149" t="s">
        <v>213</v>
      </c>
      <c r="C11" s="150"/>
      <c r="D11" s="150"/>
      <c r="E11" s="150"/>
      <c r="F11" s="150"/>
      <c r="G11" s="150"/>
      <c r="H11" s="150"/>
      <c r="I11" s="150"/>
      <c r="J11" s="150"/>
      <c r="K11" s="150"/>
      <c r="L11" s="150"/>
      <c r="M11" s="150"/>
      <c r="N11" s="150"/>
      <c r="O11" s="150"/>
      <c r="P11" s="151"/>
    </row>
    <row r="12" spans="2:16" ht="21.6" customHeight="1" x14ac:dyDescent="0.2">
      <c r="B12" s="149" t="s">
        <v>216</v>
      </c>
      <c r="C12" s="150"/>
      <c r="D12" s="150"/>
      <c r="E12" s="150"/>
      <c r="F12" s="150"/>
      <c r="G12" s="150"/>
      <c r="H12" s="150"/>
      <c r="I12" s="150"/>
      <c r="J12" s="150"/>
      <c r="K12" s="150"/>
      <c r="L12" s="150"/>
      <c r="M12" s="150"/>
      <c r="N12" s="150"/>
      <c r="O12" s="150"/>
      <c r="P12" s="151"/>
    </row>
    <row r="13" spans="2:16" ht="33.950000000000003" customHeight="1" x14ac:dyDescent="0.2">
      <c r="B13" s="155" t="s">
        <v>189</v>
      </c>
      <c r="C13" s="156"/>
      <c r="D13" s="156"/>
      <c r="E13" s="156"/>
      <c r="F13" s="156"/>
      <c r="G13" s="156"/>
      <c r="H13" s="156"/>
      <c r="I13" s="156"/>
      <c r="J13" s="156"/>
      <c r="K13" s="156"/>
      <c r="L13" s="156"/>
      <c r="M13" s="156"/>
      <c r="N13" s="156"/>
      <c r="O13" s="156"/>
      <c r="P13" s="157"/>
    </row>
    <row r="14" spans="2:16" ht="30.95" customHeight="1" x14ac:dyDescent="0.2">
      <c r="B14" s="149" t="s">
        <v>217</v>
      </c>
      <c r="C14" s="150"/>
      <c r="D14" s="150"/>
      <c r="E14" s="150"/>
      <c r="F14" s="150"/>
      <c r="G14" s="150"/>
      <c r="H14" s="150"/>
      <c r="I14" s="150"/>
      <c r="J14" s="150"/>
      <c r="K14" s="150"/>
      <c r="L14" s="150"/>
      <c r="M14" s="150"/>
      <c r="N14" s="150"/>
      <c r="O14" s="150"/>
      <c r="P14" s="151"/>
    </row>
    <row r="15" spans="2:16" ht="22.5" customHeight="1" x14ac:dyDescent="0.2">
      <c r="B15" s="149" t="s">
        <v>218</v>
      </c>
      <c r="C15" s="150"/>
      <c r="D15" s="150"/>
      <c r="E15" s="150"/>
      <c r="F15" s="150"/>
      <c r="G15" s="150"/>
      <c r="H15" s="150"/>
      <c r="I15" s="150"/>
      <c r="J15" s="150"/>
      <c r="K15" s="150"/>
      <c r="L15" s="150"/>
      <c r="M15" s="150"/>
      <c r="N15" s="150"/>
      <c r="O15" s="150"/>
      <c r="P15" s="151"/>
    </row>
    <row r="16" spans="2:16" ht="22.5" customHeight="1" thickBot="1" x14ac:dyDescent="0.25">
      <c r="B16" s="152" t="s">
        <v>190</v>
      </c>
      <c r="C16" s="153"/>
      <c r="D16" s="153"/>
      <c r="E16" s="153"/>
      <c r="F16" s="153"/>
      <c r="G16" s="153"/>
      <c r="H16" s="153"/>
      <c r="I16" s="153"/>
      <c r="J16" s="153"/>
      <c r="K16" s="153"/>
      <c r="L16" s="153"/>
      <c r="M16" s="153"/>
      <c r="N16" s="153"/>
      <c r="O16" s="153"/>
      <c r="P16" s="154"/>
    </row>
  </sheetData>
  <customSheetViews>
    <customSheetView guid="{41816220-B35C-45A9-9EE2-EC676D322318}" printArea="1" topLeftCell="A10">
      <selection activeCell="B16" sqref="B16:P16"/>
      <pageMargins left="0.7" right="0.7" top="0.75" bottom="0.75" header="0.3" footer="0.3"/>
      <pageSetup paperSize="9" orientation="landscape"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4">
    <mergeCell ref="B9:P9"/>
    <mergeCell ref="B3:P3"/>
    <mergeCell ref="B11:P11"/>
    <mergeCell ref="B4:P4"/>
    <mergeCell ref="B5:P5"/>
    <mergeCell ref="B6:P6"/>
    <mergeCell ref="B7:P7"/>
    <mergeCell ref="B8:P8"/>
    <mergeCell ref="B10:P10"/>
    <mergeCell ref="B14:P14"/>
    <mergeCell ref="B15:P15"/>
    <mergeCell ref="B16:P16"/>
    <mergeCell ref="B12:P12"/>
    <mergeCell ref="B13:P13"/>
  </mergeCells>
  <pageMargins left="0.7" right="0.7" top="0.75" bottom="0.75" header="0.3" footer="0.3"/>
  <pageSetup paperSize="9" orientation="landscape" r:id="rId2"/>
  <headerFooter>
    <oddHeader>&amp;L&amp;"Times New Roman,Regular"&amp;12&amp;K000000 </oddHeader>
    <evenHeader>&amp;L&amp;"Times New Roman,Regular"&amp;12&amp;K000000 </evenHeader>
    <firstHeader>&amp;L&amp;"Times New Roman,Regular"&amp;12&amp;K000000 </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5"/>
    <pageSetUpPr autoPageBreaks="0"/>
  </sheetPr>
  <dimension ref="B2:H25"/>
  <sheetViews>
    <sheetView workbookViewId="0"/>
  </sheetViews>
  <sheetFormatPr defaultColWidth="9.109375" defaultRowHeight="12" x14ac:dyDescent="0.2"/>
  <cols>
    <col min="1" max="1" width="9.109375" style="81"/>
    <col min="2" max="2" width="30.77734375" style="81" customWidth="1"/>
    <col min="3" max="3" width="20" style="81" customWidth="1"/>
    <col min="4" max="4" width="45.109375" style="81" customWidth="1"/>
    <col min="5" max="16384" width="9.109375" style="81"/>
  </cols>
  <sheetData>
    <row r="2" spans="2:8" ht="12.75" thickBot="1" x14ac:dyDescent="0.25"/>
    <row r="3" spans="2:8" ht="12.75" thickBot="1" x14ac:dyDescent="0.25">
      <c r="B3" s="158" t="s">
        <v>0</v>
      </c>
      <c r="C3" s="164"/>
      <c r="D3" s="165"/>
      <c r="F3" s="82"/>
      <c r="G3" s="82"/>
      <c r="H3" s="82"/>
    </row>
    <row r="4" spans="2:8" ht="12.75" thickBot="1" x14ac:dyDescent="0.25">
      <c r="B4" s="65"/>
      <c r="C4" s="83"/>
      <c r="D4" s="84"/>
      <c r="F4" s="82"/>
      <c r="G4" s="82"/>
      <c r="H4" s="82"/>
    </row>
    <row r="5" spans="2:8" ht="17.100000000000001" customHeight="1" thickBot="1" x14ac:dyDescent="0.25">
      <c r="B5" s="166" t="s">
        <v>162</v>
      </c>
      <c r="C5" s="167"/>
      <c r="D5" s="85" t="s">
        <v>1</v>
      </c>
    </row>
    <row r="6" spans="2:8" x14ac:dyDescent="0.2">
      <c r="B6" s="52" t="s">
        <v>155</v>
      </c>
      <c r="C6" s="86">
        <v>0.9</v>
      </c>
      <c r="D6" s="87" t="s">
        <v>158</v>
      </c>
    </row>
    <row r="7" spans="2:8" x14ac:dyDescent="0.2">
      <c r="B7" s="55"/>
      <c r="C7" s="88"/>
      <c r="D7" s="89"/>
    </row>
    <row r="8" spans="2:8" x14ac:dyDescent="0.2">
      <c r="B8" s="55" t="s">
        <v>156</v>
      </c>
      <c r="C8" s="90" t="s">
        <v>160</v>
      </c>
      <c r="D8" s="89"/>
    </row>
    <row r="9" spans="2:8" ht="12.75" thickBot="1" x14ac:dyDescent="0.25">
      <c r="B9" s="58"/>
      <c r="C9" s="58"/>
      <c r="D9" s="91"/>
    </row>
    <row r="10" spans="2:8" ht="12.75" thickBot="1" x14ac:dyDescent="0.25">
      <c r="B10" s="168" t="s">
        <v>163</v>
      </c>
      <c r="C10" s="169"/>
      <c r="D10" s="92" t="s">
        <v>1</v>
      </c>
    </row>
    <row r="11" spans="2:8" x14ac:dyDescent="0.2">
      <c r="B11" s="52" t="s">
        <v>157</v>
      </c>
      <c r="C11" s="86">
        <v>0.9</v>
      </c>
      <c r="D11" s="87" t="s">
        <v>161</v>
      </c>
    </row>
    <row r="12" spans="2:8" x14ac:dyDescent="0.2">
      <c r="B12" s="55"/>
      <c r="C12" s="55"/>
      <c r="D12" s="89"/>
    </row>
    <row r="13" spans="2:8" x14ac:dyDescent="0.2">
      <c r="B13" s="55" t="s">
        <v>156</v>
      </c>
      <c r="C13" s="88" t="s">
        <v>159</v>
      </c>
      <c r="D13" s="89"/>
    </row>
    <row r="14" spans="2:8" ht="12.75" thickBot="1" x14ac:dyDescent="0.25">
      <c r="B14" s="55"/>
      <c r="C14" s="88"/>
      <c r="D14" s="89"/>
    </row>
    <row r="15" spans="2:8" ht="12.75" thickBot="1" x14ac:dyDescent="0.25">
      <c r="B15" s="168" t="s">
        <v>164</v>
      </c>
      <c r="C15" s="169"/>
      <c r="D15" s="92" t="s">
        <v>1</v>
      </c>
    </row>
    <row r="16" spans="2:8" x14ac:dyDescent="0.2">
      <c r="B16" s="52" t="s">
        <v>157</v>
      </c>
      <c r="C16" s="86">
        <v>0.7</v>
      </c>
      <c r="D16" s="87" t="s">
        <v>165</v>
      </c>
    </row>
    <row r="17" spans="2:4" ht="12.75" thickBot="1" x14ac:dyDescent="0.25">
      <c r="B17" s="58"/>
      <c r="C17" s="58"/>
      <c r="D17" s="91"/>
    </row>
    <row r="18" spans="2:4" ht="12.75" thickBot="1" x14ac:dyDescent="0.25">
      <c r="B18" s="168" t="s">
        <v>2</v>
      </c>
      <c r="C18" s="169"/>
      <c r="D18" s="170"/>
    </row>
    <row r="19" spans="2:4" x14ac:dyDescent="0.2">
      <c r="B19" s="52" t="s">
        <v>3</v>
      </c>
      <c r="C19" s="52"/>
      <c r="D19" s="52" t="s">
        <v>4</v>
      </c>
    </row>
    <row r="20" spans="2:4" x14ac:dyDescent="0.2">
      <c r="B20" s="55"/>
      <c r="C20" s="55"/>
      <c r="D20" s="55"/>
    </row>
    <row r="21" spans="2:4" x14ac:dyDescent="0.2">
      <c r="B21" s="55" t="s">
        <v>5</v>
      </c>
      <c r="C21" s="55"/>
      <c r="D21" s="55" t="s">
        <v>149</v>
      </c>
    </row>
    <row r="22" spans="2:4" x14ac:dyDescent="0.2">
      <c r="B22" s="55"/>
      <c r="C22" s="55"/>
      <c r="D22" s="55"/>
    </row>
    <row r="23" spans="2:4" x14ac:dyDescent="0.2">
      <c r="B23" s="55" t="s">
        <v>6</v>
      </c>
      <c r="C23" s="55"/>
      <c r="D23" s="55" t="s">
        <v>138</v>
      </c>
    </row>
    <row r="24" spans="2:4" ht="12.75" thickBot="1" x14ac:dyDescent="0.25">
      <c r="B24" s="58"/>
      <c r="C24" s="58"/>
      <c r="D24" s="58" t="s">
        <v>137</v>
      </c>
    </row>
    <row r="25" spans="2:4" ht="16.5" customHeight="1" thickBot="1" x14ac:dyDescent="0.25">
      <c r="B25" s="171" t="s">
        <v>167</v>
      </c>
      <c r="C25" s="172"/>
      <c r="D25" s="173"/>
    </row>
  </sheetData>
  <customSheetViews>
    <customSheetView guid="{41816220-B35C-45A9-9EE2-EC676D322318}">
      <selection activeCell="L33" sqref="L33"/>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6">
    <mergeCell ref="B3:D3"/>
    <mergeCell ref="B5:C5"/>
    <mergeCell ref="B10:C10"/>
    <mergeCell ref="B18:D18"/>
    <mergeCell ref="B25:D25"/>
    <mergeCell ref="B15:C15"/>
  </mergeCells>
  <hyperlinks>
    <hyperlink ref="B25:D25" r:id="rId2" display="Click here for information on the mortgage measures framework"/>
  </hyperlinks>
  <pageMargins left="0.7" right="0.7" top="0.75" bottom="0.75" header="0.3" footer="0.3"/>
  <pageSetup paperSize="9" orientation="portrait" r:id="rId3"/>
  <headerFooter>
    <oddHeader>&amp;L&amp;"Times New Roman,Regular"&amp;12&amp;K000000 </oddHeader>
    <evenHeader>&amp;L&amp;"Times New Roman,Regular"&amp;12&amp;K000000 </evenHeader>
    <firstHeader>&amp;L&amp;"Times New Roman,Regular"&amp;12&amp;K000000 </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pageSetUpPr autoPageBreaks="0"/>
  </sheetPr>
  <dimension ref="A2:I34"/>
  <sheetViews>
    <sheetView workbookViewId="0"/>
  </sheetViews>
  <sheetFormatPr defaultColWidth="9.109375" defaultRowHeight="14.25" x14ac:dyDescent="0.2"/>
  <cols>
    <col min="1" max="1" width="9.109375" style="3"/>
    <col min="2" max="2" width="24.33203125" style="3" customWidth="1"/>
    <col min="3" max="3" width="20.77734375" style="3" customWidth="1"/>
    <col min="4" max="4" width="18.6640625" style="3" customWidth="1"/>
    <col min="5" max="5" width="15.33203125" style="3" customWidth="1"/>
    <col min="6" max="6" width="21" style="3" customWidth="1"/>
    <col min="7" max="7" width="14.109375" style="3" bestFit="1" customWidth="1"/>
    <col min="8" max="16384" width="9.109375" style="3"/>
  </cols>
  <sheetData>
    <row r="2" spans="2:9" ht="15" thickBot="1" x14ac:dyDescent="0.25"/>
    <row r="3" spans="2:9" ht="15" customHeight="1" thickBot="1" x14ac:dyDescent="0.25">
      <c r="B3" s="174" t="s">
        <v>168</v>
      </c>
      <c r="C3" s="175"/>
      <c r="D3" s="175"/>
      <c r="E3" s="175"/>
      <c r="F3" s="175"/>
      <c r="G3" s="176"/>
    </row>
    <row r="4" spans="2:9" ht="15" thickBot="1" x14ac:dyDescent="0.25">
      <c r="B4" s="77"/>
      <c r="C4" s="62" t="s">
        <v>169</v>
      </c>
      <c r="D4" s="62" t="s">
        <v>170</v>
      </c>
      <c r="E4" s="62" t="s">
        <v>171</v>
      </c>
      <c r="F4" s="62" t="s">
        <v>172</v>
      </c>
      <c r="G4" s="78" t="s">
        <v>188</v>
      </c>
    </row>
    <row r="5" spans="2:9" x14ac:dyDescent="0.2">
      <c r="B5" s="55" t="s">
        <v>13</v>
      </c>
      <c r="C5" s="56">
        <v>5210.9462999999996</v>
      </c>
      <c r="D5" s="56">
        <v>18131</v>
      </c>
      <c r="E5" s="56">
        <v>100</v>
      </c>
      <c r="F5" s="56">
        <v>5619.5731999999998</v>
      </c>
      <c r="G5" s="56">
        <v>100</v>
      </c>
      <c r="H5" s="23"/>
      <c r="I5" s="15"/>
    </row>
    <row r="6" spans="2:9" x14ac:dyDescent="0.2">
      <c r="B6" s="55" t="s">
        <v>14</v>
      </c>
      <c r="C6" s="56">
        <v>4875.8173999999999</v>
      </c>
      <c r="D6" s="56">
        <v>16712</v>
      </c>
      <c r="E6" s="56">
        <v>93.568747999999999</v>
      </c>
      <c r="F6" s="56">
        <v>5010.0796</v>
      </c>
      <c r="G6" s="56">
        <v>89.154090999999994</v>
      </c>
      <c r="H6" s="23"/>
    </row>
    <row r="7" spans="2:9" x14ac:dyDescent="0.2">
      <c r="B7" s="79" t="s">
        <v>15</v>
      </c>
      <c r="C7" s="56"/>
      <c r="D7" s="56"/>
      <c r="E7" s="56"/>
      <c r="F7" s="56"/>
      <c r="G7" s="56"/>
    </row>
    <row r="8" spans="2:9" x14ac:dyDescent="0.2">
      <c r="B8" s="79"/>
      <c r="C8" s="56"/>
      <c r="D8" s="56"/>
      <c r="E8" s="56"/>
      <c r="F8" s="56"/>
      <c r="G8" s="56"/>
    </row>
    <row r="9" spans="2:9" x14ac:dyDescent="0.2">
      <c r="B9" s="80" t="s">
        <v>16</v>
      </c>
      <c r="C9" s="56">
        <v>4821.75</v>
      </c>
      <c r="D9" s="56">
        <v>16397</v>
      </c>
      <c r="E9" s="56">
        <v>98.891113000000004</v>
      </c>
      <c r="F9" s="56">
        <v>4948.5654000000004</v>
      </c>
      <c r="G9" s="56">
        <v>98.772193999999999</v>
      </c>
    </row>
    <row r="10" spans="2:9" x14ac:dyDescent="0.2">
      <c r="B10" s="80"/>
      <c r="C10" s="56"/>
      <c r="D10" s="56"/>
      <c r="E10" s="56"/>
      <c r="F10" s="56"/>
      <c r="G10" s="56"/>
    </row>
    <row r="11" spans="2:9" x14ac:dyDescent="0.2">
      <c r="B11" s="55" t="s">
        <v>17</v>
      </c>
      <c r="C11" s="56">
        <v>3304.0645</v>
      </c>
      <c r="D11" s="56">
        <v>11331</v>
      </c>
      <c r="E11" s="56">
        <v>68.524178000000006</v>
      </c>
      <c r="F11" s="56">
        <v>3194.4675000000002</v>
      </c>
      <c r="G11" s="56">
        <v>64.553405999999995</v>
      </c>
    </row>
    <row r="12" spans="2:9" x14ac:dyDescent="0.2">
      <c r="B12" s="55" t="s">
        <v>153</v>
      </c>
      <c r="C12" s="56">
        <v>178.45672999999999</v>
      </c>
      <c r="D12" s="56">
        <v>487</v>
      </c>
      <c r="E12" s="76">
        <v>5.4011272999999997</v>
      </c>
      <c r="F12" s="56">
        <v>159.66437999999999</v>
      </c>
      <c r="G12" s="76">
        <v>4.9981532</v>
      </c>
    </row>
    <row r="13" spans="2:9" x14ac:dyDescent="0.2">
      <c r="B13" s="79" t="s">
        <v>18</v>
      </c>
      <c r="C13" s="56">
        <v>1.5910949999999999</v>
      </c>
      <c r="D13" s="56">
        <v>4</v>
      </c>
      <c r="E13" s="56">
        <v>0.89158588999999999</v>
      </c>
      <c r="F13" s="56">
        <v>0</v>
      </c>
      <c r="G13" s="56">
        <v>0</v>
      </c>
    </row>
    <row r="14" spans="2:9" x14ac:dyDescent="0.2">
      <c r="B14" s="79" t="s">
        <v>133</v>
      </c>
      <c r="C14" s="56">
        <v>176.86563000000001</v>
      </c>
      <c r="D14" s="56">
        <v>483</v>
      </c>
      <c r="E14" s="56">
        <v>99.108413999999996</v>
      </c>
      <c r="F14" s="56">
        <v>159.66437999999999</v>
      </c>
      <c r="G14" s="56">
        <v>100</v>
      </c>
    </row>
    <row r="15" spans="2:9" x14ac:dyDescent="0.2">
      <c r="B15" s="79"/>
      <c r="C15" s="56"/>
      <c r="D15" s="56"/>
      <c r="E15" s="56"/>
      <c r="F15" s="56"/>
      <c r="G15" s="56"/>
    </row>
    <row r="16" spans="2:9" x14ac:dyDescent="0.2">
      <c r="B16" s="55" t="s">
        <v>19</v>
      </c>
      <c r="C16" s="56">
        <v>1517.6853000000001</v>
      </c>
      <c r="D16" s="56">
        <v>5066</v>
      </c>
      <c r="E16" s="56">
        <v>31.475819000000001</v>
      </c>
      <c r="F16" s="56">
        <v>1754.0975000000001</v>
      </c>
      <c r="G16" s="56">
        <v>35.446587000000001</v>
      </c>
    </row>
    <row r="17" spans="1:9" x14ac:dyDescent="0.2">
      <c r="B17" s="55" t="s">
        <v>154</v>
      </c>
      <c r="C17" s="56">
        <v>122.04895999999999</v>
      </c>
      <c r="D17" s="56">
        <v>283</v>
      </c>
      <c r="E17" s="76">
        <v>8.0417833000000005</v>
      </c>
      <c r="F17" s="56">
        <v>108.84739</v>
      </c>
      <c r="G17" s="76">
        <v>6.2053212999999996</v>
      </c>
    </row>
    <row r="18" spans="1:9" x14ac:dyDescent="0.2">
      <c r="B18" s="79" t="s">
        <v>20</v>
      </c>
      <c r="C18" s="56">
        <v>0.27100000000000002</v>
      </c>
      <c r="D18" s="56">
        <v>2</v>
      </c>
      <c r="E18" s="56">
        <v>0.22204204</v>
      </c>
      <c r="F18" s="56">
        <v>0.06</v>
      </c>
      <c r="G18" s="56">
        <v>5.512305E-2</v>
      </c>
      <c r="I18" s="21"/>
    </row>
    <row r="19" spans="1:9" x14ac:dyDescent="0.2">
      <c r="B19" s="79" t="s">
        <v>134</v>
      </c>
      <c r="C19" s="56">
        <v>121.77795999999999</v>
      </c>
      <c r="D19" s="56">
        <v>281</v>
      </c>
      <c r="E19" s="56">
        <v>99.777962000000002</v>
      </c>
      <c r="F19" s="56">
        <v>108.78739</v>
      </c>
      <c r="G19" s="56">
        <v>99.944878000000003</v>
      </c>
    </row>
    <row r="20" spans="1:9" x14ac:dyDescent="0.2">
      <c r="A20" s="21"/>
      <c r="B20" s="79"/>
      <c r="C20" s="56"/>
      <c r="D20" s="56"/>
      <c r="E20" s="56"/>
      <c r="F20" s="56"/>
      <c r="G20" s="56"/>
    </row>
    <row r="21" spans="1:9" x14ac:dyDescent="0.2">
      <c r="B21" s="80" t="s">
        <v>21</v>
      </c>
      <c r="C21" s="56">
        <v>54.067534999999999</v>
      </c>
      <c r="D21" s="56">
        <v>315</v>
      </c>
      <c r="E21" s="56">
        <v>1.1088917</v>
      </c>
      <c r="F21" s="56">
        <v>61.514510999999999</v>
      </c>
      <c r="G21" s="56">
        <v>1.2278150000000001</v>
      </c>
    </row>
    <row r="22" spans="1:9" x14ac:dyDescent="0.2">
      <c r="B22" s="55" t="s">
        <v>22</v>
      </c>
      <c r="C22" s="56">
        <v>1.6435</v>
      </c>
      <c r="D22" s="56">
        <v>7</v>
      </c>
      <c r="E22" s="56">
        <v>3.0397167</v>
      </c>
      <c r="F22" s="56">
        <v>1.9935</v>
      </c>
      <c r="G22" s="56">
        <v>3.2406988000000001</v>
      </c>
    </row>
    <row r="23" spans="1:9" x14ac:dyDescent="0.2">
      <c r="B23" s="55"/>
      <c r="C23" s="56"/>
      <c r="D23" s="56"/>
      <c r="E23" s="56"/>
      <c r="F23" s="56"/>
      <c r="G23" s="56"/>
      <c r="I23" s="21"/>
    </row>
    <row r="24" spans="1:9" x14ac:dyDescent="0.2">
      <c r="B24" s="55" t="s">
        <v>23</v>
      </c>
      <c r="C24" s="56">
        <v>335.12869000000001</v>
      </c>
      <c r="D24" s="56">
        <v>1419</v>
      </c>
      <c r="E24" s="56">
        <v>6.4312443999999998</v>
      </c>
      <c r="F24" s="56">
        <v>609.49352999999996</v>
      </c>
      <c r="G24" s="56">
        <v>10.845904000000001</v>
      </c>
    </row>
    <row r="25" spans="1:9" x14ac:dyDescent="0.2">
      <c r="B25" s="79" t="s">
        <v>15</v>
      </c>
      <c r="C25" s="56"/>
      <c r="D25" s="56"/>
      <c r="E25" s="56"/>
      <c r="F25" s="56"/>
      <c r="G25" s="56"/>
    </row>
    <row r="26" spans="1:9" x14ac:dyDescent="0.2">
      <c r="B26" s="55" t="s">
        <v>139</v>
      </c>
      <c r="C26" s="56">
        <v>335.12869000000001</v>
      </c>
      <c r="D26" s="56">
        <v>1419</v>
      </c>
      <c r="E26" s="56">
        <v>100</v>
      </c>
      <c r="F26" s="56">
        <v>609.49352999999996</v>
      </c>
      <c r="G26" s="56">
        <v>100</v>
      </c>
    </row>
    <row r="27" spans="1:9" ht="14.45" customHeight="1" x14ac:dyDescent="0.2">
      <c r="B27" s="55" t="s">
        <v>24</v>
      </c>
      <c r="C27" s="56">
        <v>0</v>
      </c>
      <c r="D27" s="56">
        <v>0</v>
      </c>
      <c r="E27" s="56">
        <v>0</v>
      </c>
      <c r="F27" s="56">
        <v>0</v>
      </c>
      <c r="G27" s="56">
        <v>0</v>
      </c>
    </row>
    <row r="28" spans="1:9" ht="15" thickBot="1" x14ac:dyDescent="0.25">
      <c r="B28" s="55" t="s">
        <v>25</v>
      </c>
      <c r="C28" s="56">
        <v>0</v>
      </c>
      <c r="D28" s="56">
        <v>0</v>
      </c>
      <c r="E28" s="56">
        <v>0</v>
      </c>
      <c r="F28" s="56">
        <v>0</v>
      </c>
      <c r="G28" s="56">
        <v>0</v>
      </c>
    </row>
    <row r="29" spans="1:9" ht="14.45" customHeight="1" x14ac:dyDescent="0.2">
      <c r="B29" s="177" t="s">
        <v>166</v>
      </c>
      <c r="C29" s="178"/>
      <c r="D29" s="178"/>
      <c r="E29" s="178"/>
      <c r="F29" s="178"/>
      <c r="G29" s="179"/>
    </row>
    <row r="30" spans="1:9" ht="51.75" customHeight="1" x14ac:dyDescent="0.2">
      <c r="B30" s="180" t="s">
        <v>173</v>
      </c>
      <c r="C30" s="181"/>
      <c r="D30" s="181"/>
      <c r="E30" s="181"/>
      <c r="F30" s="181"/>
      <c r="G30" s="182"/>
    </row>
    <row r="31" spans="1:9" ht="26.1" customHeight="1" thickBot="1" x14ac:dyDescent="0.25">
      <c r="B31" s="183" t="s">
        <v>141</v>
      </c>
      <c r="C31" s="184"/>
      <c r="D31" s="184"/>
      <c r="E31" s="184"/>
      <c r="F31" s="184"/>
      <c r="G31" s="185"/>
    </row>
    <row r="32" spans="1:9" x14ac:dyDescent="0.2">
      <c r="C32" s="32"/>
      <c r="D32" s="20"/>
      <c r="E32" s="20"/>
      <c r="F32" s="20"/>
      <c r="G32" s="20"/>
    </row>
    <row r="33" spans="2:3" ht="15" x14ac:dyDescent="0.2">
      <c r="B33" s="48"/>
    </row>
    <row r="34" spans="2:3" x14ac:dyDescent="0.2">
      <c r="C34" s="21"/>
    </row>
  </sheetData>
  <customSheetViews>
    <customSheetView guid="{41816220-B35C-45A9-9EE2-EC676D322318}">
      <selection activeCell="G20" sqref="G2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G3"/>
    <mergeCell ref="B29:G29"/>
    <mergeCell ref="B30:G30"/>
    <mergeCell ref="B31:G31"/>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pageSetUpPr autoPageBreaks="0"/>
  </sheetPr>
  <dimension ref="A1:Q31"/>
  <sheetViews>
    <sheetView zoomScaleNormal="100" workbookViewId="0"/>
  </sheetViews>
  <sheetFormatPr defaultColWidth="9.109375" defaultRowHeight="14.25" x14ac:dyDescent="0.2"/>
  <cols>
    <col min="1" max="10" width="9.109375" style="3"/>
    <col min="11" max="11" width="31" style="3" customWidth="1"/>
    <col min="12" max="12" width="21.44140625" style="16" customWidth="1"/>
    <col min="13" max="13" width="15.109375" style="16" customWidth="1"/>
    <col min="14" max="14" width="21.44140625" style="3" customWidth="1"/>
    <col min="15" max="15" width="18.33203125" style="3" customWidth="1"/>
    <col min="16" max="16384" width="9.109375" style="3"/>
  </cols>
  <sheetData>
    <row r="1" spans="1:17" x14ac:dyDescent="0.2">
      <c r="A1" s="15"/>
      <c r="B1" s="15"/>
      <c r="C1" s="15"/>
      <c r="D1" s="15"/>
      <c r="E1" s="15"/>
      <c r="F1" s="15"/>
      <c r="G1" s="15"/>
      <c r="H1" s="15"/>
      <c r="I1" s="15"/>
      <c r="J1" s="15"/>
      <c r="K1" s="15"/>
      <c r="L1" s="41"/>
      <c r="M1" s="41"/>
      <c r="N1" s="15"/>
      <c r="O1" s="15"/>
      <c r="P1" s="15"/>
      <c r="Q1" s="15"/>
    </row>
    <row r="2" spans="1:17" ht="15" thickBot="1" x14ac:dyDescent="0.25">
      <c r="A2" s="19"/>
      <c r="B2" s="19"/>
      <c r="C2" s="19"/>
      <c r="D2" s="19"/>
      <c r="E2" s="19"/>
      <c r="F2" s="19"/>
      <c r="G2" s="19"/>
      <c r="H2" s="19"/>
      <c r="I2" s="19"/>
      <c r="J2" s="15"/>
      <c r="K2" s="15"/>
      <c r="L2" s="41"/>
      <c r="M2" s="41"/>
      <c r="N2" s="15"/>
      <c r="O2" s="15"/>
      <c r="P2" s="15"/>
      <c r="Q2" s="15"/>
    </row>
    <row r="3" spans="1:17" ht="15" thickBot="1" x14ac:dyDescent="0.25">
      <c r="A3" s="19"/>
      <c r="B3" s="186" t="s">
        <v>174</v>
      </c>
      <c r="C3" s="186"/>
      <c r="D3" s="186"/>
      <c r="E3" s="186"/>
      <c r="F3" s="186"/>
      <c r="G3" s="186"/>
      <c r="H3" s="186"/>
      <c r="I3" s="186"/>
      <c r="J3" s="15"/>
      <c r="K3" s="50"/>
      <c r="L3" s="51" t="s">
        <v>175</v>
      </c>
      <c r="M3" s="51" t="s">
        <v>192</v>
      </c>
      <c r="N3" s="51" t="s">
        <v>176</v>
      </c>
      <c r="O3" s="51" t="s">
        <v>193</v>
      </c>
      <c r="P3" s="15"/>
      <c r="Q3" s="15"/>
    </row>
    <row r="4" spans="1:17" x14ac:dyDescent="0.2">
      <c r="A4" s="19"/>
      <c r="B4" s="5"/>
      <c r="C4" s="5"/>
      <c r="D4" s="5"/>
      <c r="E4" s="5"/>
      <c r="F4" s="5"/>
      <c r="G4" s="5"/>
      <c r="H4" s="5"/>
      <c r="I4" s="5"/>
      <c r="J4" s="15"/>
      <c r="K4" s="52" t="s">
        <v>7</v>
      </c>
      <c r="L4" s="53">
        <v>897.69860000000006</v>
      </c>
      <c r="M4" s="53">
        <v>3304</v>
      </c>
      <c r="N4" s="53">
        <v>688.59529999999995</v>
      </c>
      <c r="O4" s="54">
        <v>2440</v>
      </c>
      <c r="P4" s="15"/>
      <c r="Q4" s="15"/>
    </row>
    <row r="5" spans="1:17" x14ac:dyDescent="0.2">
      <c r="A5" s="19"/>
      <c r="B5" s="5"/>
      <c r="C5" s="5"/>
      <c r="D5" s="5"/>
      <c r="E5" s="5"/>
      <c r="F5" s="5"/>
      <c r="G5" s="5"/>
      <c r="H5" s="5"/>
      <c r="I5" s="5"/>
      <c r="J5" s="15"/>
      <c r="K5" s="55" t="s">
        <v>8</v>
      </c>
      <c r="L5" s="56">
        <v>1145.03</v>
      </c>
      <c r="M5" s="56">
        <v>3976</v>
      </c>
      <c r="N5" s="56">
        <v>813.07709999999997</v>
      </c>
      <c r="O5" s="57">
        <v>2870</v>
      </c>
      <c r="P5" s="15"/>
      <c r="Q5" s="15"/>
    </row>
    <row r="6" spans="1:17" x14ac:dyDescent="0.2">
      <c r="A6" s="19"/>
      <c r="B6" s="5"/>
      <c r="C6" s="5"/>
      <c r="D6" s="5"/>
      <c r="E6" s="5"/>
      <c r="F6" s="5"/>
      <c r="G6" s="5"/>
      <c r="H6" s="5"/>
      <c r="I6" s="5"/>
      <c r="J6" s="15"/>
      <c r="K6" s="55" t="s">
        <v>9</v>
      </c>
      <c r="L6" s="56">
        <v>826.41980000000001</v>
      </c>
      <c r="M6" s="56">
        <v>3101</v>
      </c>
      <c r="N6" s="56">
        <v>829.79489999999998</v>
      </c>
      <c r="O6" s="57">
        <v>2927</v>
      </c>
      <c r="P6" s="24"/>
      <c r="Q6" s="15"/>
    </row>
    <row r="7" spans="1:17" x14ac:dyDescent="0.2">
      <c r="A7" s="19"/>
      <c r="B7" s="5"/>
      <c r="C7" s="5"/>
      <c r="D7" s="5"/>
      <c r="E7" s="5"/>
      <c r="F7" s="5"/>
      <c r="G7" s="5"/>
      <c r="H7" s="5"/>
      <c r="I7" s="5"/>
      <c r="J7" s="15"/>
      <c r="K7" s="55" t="s">
        <v>10</v>
      </c>
      <c r="L7" s="56">
        <v>886.50170000000003</v>
      </c>
      <c r="M7" s="56">
        <v>3122</v>
      </c>
      <c r="N7" s="56">
        <v>861.4914</v>
      </c>
      <c r="O7" s="57">
        <v>3044</v>
      </c>
      <c r="P7" s="24"/>
      <c r="Q7" s="15"/>
    </row>
    <row r="8" spans="1:17" x14ac:dyDescent="0.2">
      <c r="A8" s="19"/>
      <c r="B8" s="5"/>
      <c r="C8" s="5"/>
      <c r="D8" s="5"/>
      <c r="E8" s="5"/>
      <c r="F8" s="5"/>
      <c r="G8" s="5"/>
      <c r="H8" s="5"/>
      <c r="I8" s="5"/>
      <c r="J8" s="15"/>
      <c r="K8" s="55" t="s">
        <v>11</v>
      </c>
      <c r="L8" s="56">
        <v>947.95339999999999</v>
      </c>
      <c r="M8" s="56">
        <v>3381</v>
      </c>
      <c r="N8" s="56">
        <v>1025.1880000000001</v>
      </c>
      <c r="O8" s="57">
        <v>3515</v>
      </c>
      <c r="P8" s="24"/>
      <c r="Q8" s="15"/>
    </row>
    <row r="9" spans="1:17" ht="15" thickBot="1" x14ac:dyDescent="0.25">
      <c r="A9" s="19"/>
      <c r="B9" s="5"/>
      <c r="C9" s="5"/>
      <c r="D9" s="5"/>
      <c r="E9" s="5"/>
      <c r="F9" s="5"/>
      <c r="G9" s="5"/>
      <c r="H9" s="5"/>
      <c r="I9" s="5"/>
      <c r="J9" s="15"/>
      <c r="K9" s="58" t="s">
        <v>12</v>
      </c>
      <c r="L9" s="59">
        <v>915.97</v>
      </c>
      <c r="M9" s="59">
        <v>3271</v>
      </c>
      <c r="N9" s="59">
        <v>992.79930000000002</v>
      </c>
      <c r="O9" s="60">
        <v>3335</v>
      </c>
      <c r="P9" s="24"/>
      <c r="Q9" s="15"/>
    </row>
    <row r="10" spans="1:17" x14ac:dyDescent="0.2">
      <c r="A10" s="19"/>
      <c r="B10" s="5"/>
      <c r="C10" s="5"/>
      <c r="D10" s="5"/>
      <c r="E10" s="5"/>
      <c r="F10" s="5"/>
      <c r="G10" s="5"/>
      <c r="H10" s="5"/>
      <c r="I10" s="5"/>
      <c r="J10" s="15"/>
      <c r="K10" s="15"/>
      <c r="L10" s="49"/>
      <c r="M10" s="49"/>
      <c r="N10" s="49"/>
      <c r="O10" s="49"/>
      <c r="P10" s="15"/>
      <c r="Q10" s="15"/>
    </row>
    <row r="11" spans="1:17" x14ac:dyDescent="0.2">
      <c r="A11" s="19"/>
      <c r="B11" s="5"/>
      <c r="C11" s="5"/>
      <c r="D11" s="5"/>
      <c r="E11" s="5"/>
      <c r="F11" s="5"/>
      <c r="G11" s="5"/>
      <c r="H11" s="5"/>
      <c r="I11" s="5"/>
      <c r="J11" s="15"/>
      <c r="K11" s="15"/>
      <c r="L11" s="41"/>
      <c r="M11" s="41"/>
      <c r="N11" s="15"/>
      <c r="O11" s="15"/>
      <c r="P11" s="15"/>
      <c r="Q11" s="15"/>
    </row>
    <row r="12" spans="1:17" x14ac:dyDescent="0.2">
      <c r="A12" s="19"/>
      <c r="B12" s="5"/>
      <c r="C12" s="5"/>
      <c r="D12" s="5"/>
      <c r="E12" s="5"/>
      <c r="F12" s="5"/>
      <c r="G12" s="5"/>
      <c r="H12" s="5"/>
      <c r="I12" s="5"/>
      <c r="J12" s="15"/>
      <c r="K12" s="15"/>
      <c r="L12" s="41"/>
      <c r="M12" s="41"/>
      <c r="N12" s="15"/>
      <c r="O12" s="15"/>
      <c r="P12" s="15"/>
      <c r="Q12" s="15"/>
    </row>
    <row r="13" spans="1:17" x14ac:dyDescent="0.2">
      <c r="A13" s="19"/>
      <c r="B13" s="5"/>
      <c r="C13" s="5"/>
      <c r="D13" s="5"/>
      <c r="E13" s="5"/>
      <c r="F13" s="5"/>
      <c r="G13" s="5"/>
      <c r="H13" s="5"/>
      <c r="I13" s="5"/>
      <c r="J13" s="15"/>
      <c r="K13" s="15"/>
      <c r="L13" s="41"/>
      <c r="M13" s="41"/>
      <c r="N13" s="24"/>
      <c r="O13" s="24"/>
      <c r="P13" s="15"/>
      <c r="Q13" s="15"/>
    </row>
    <row r="14" spans="1:17" x14ac:dyDescent="0.2">
      <c r="A14" s="19"/>
      <c r="B14" s="5"/>
      <c r="C14" s="5"/>
      <c r="D14" s="5"/>
      <c r="E14" s="5"/>
      <c r="F14" s="5"/>
      <c r="G14" s="5"/>
      <c r="H14" s="5"/>
      <c r="I14" s="5"/>
      <c r="J14" s="15"/>
      <c r="K14" s="15"/>
      <c r="L14" s="41"/>
      <c r="M14" s="41"/>
      <c r="N14" s="24"/>
      <c r="O14" s="24"/>
      <c r="P14" s="15"/>
      <c r="Q14" s="15"/>
    </row>
    <row r="15" spans="1:17" x14ac:dyDescent="0.2">
      <c r="A15" s="19"/>
      <c r="B15" s="5"/>
      <c r="C15" s="5"/>
      <c r="D15" s="5"/>
      <c r="E15" s="5"/>
      <c r="F15" s="5"/>
      <c r="G15" s="5"/>
      <c r="H15" s="5"/>
      <c r="I15" s="5"/>
      <c r="J15" s="15"/>
      <c r="K15" s="15"/>
      <c r="L15" s="41"/>
      <c r="M15" s="41"/>
      <c r="N15" s="24"/>
      <c r="O15" s="24"/>
      <c r="P15" s="15"/>
      <c r="Q15" s="15"/>
    </row>
    <row r="16" spans="1:17" x14ac:dyDescent="0.2">
      <c r="A16" s="19"/>
      <c r="B16" s="5"/>
      <c r="C16" s="5"/>
      <c r="D16" s="5"/>
      <c r="E16" s="5"/>
      <c r="F16" s="5"/>
      <c r="G16" s="5"/>
      <c r="H16" s="5"/>
      <c r="I16" s="5"/>
      <c r="J16" s="15"/>
      <c r="K16" s="15"/>
      <c r="L16" s="41"/>
      <c r="M16" s="41"/>
      <c r="N16" s="24"/>
      <c r="O16" s="24"/>
      <c r="P16" s="15"/>
      <c r="Q16" s="15"/>
    </row>
    <row r="17" spans="1:17" x14ac:dyDescent="0.2">
      <c r="A17" s="19"/>
      <c r="B17" s="5"/>
      <c r="C17" s="5"/>
      <c r="D17" s="5"/>
      <c r="E17" s="5"/>
      <c r="F17" s="5"/>
      <c r="G17" s="5"/>
      <c r="H17" s="5"/>
      <c r="I17" s="5"/>
      <c r="J17" s="15"/>
      <c r="K17" s="15"/>
      <c r="L17" s="41"/>
      <c r="M17" s="41"/>
      <c r="N17" s="24"/>
      <c r="O17" s="24"/>
      <c r="P17" s="15"/>
      <c r="Q17" s="15"/>
    </row>
    <row r="18" spans="1:17" x14ac:dyDescent="0.2">
      <c r="A18" s="19"/>
      <c r="B18" s="5"/>
      <c r="C18" s="5"/>
      <c r="D18" s="5"/>
      <c r="E18" s="5"/>
      <c r="F18" s="5"/>
      <c r="G18" s="5"/>
      <c r="H18" s="5"/>
      <c r="I18" s="5"/>
      <c r="J18" s="15"/>
      <c r="K18" s="15"/>
      <c r="L18" s="41"/>
      <c r="M18" s="41"/>
      <c r="N18" s="24"/>
      <c r="O18" s="24"/>
      <c r="P18" s="15"/>
      <c r="Q18" s="15"/>
    </row>
    <row r="19" spans="1:17" x14ac:dyDescent="0.2">
      <c r="A19" s="19"/>
      <c r="B19" s="5"/>
      <c r="C19" s="5"/>
      <c r="D19" s="5"/>
      <c r="E19" s="5"/>
      <c r="F19" s="5"/>
      <c r="G19" s="5"/>
      <c r="H19" s="5"/>
      <c r="I19" s="5"/>
      <c r="J19" s="15"/>
      <c r="K19" s="15"/>
      <c r="L19" s="41"/>
      <c r="M19" s="41"/>
      <c r="N19" s="24"/>
      <c r="O19" s="24"/>
      <c r="P19" s="15"/>
      <c r="Q19" s="15"/>
    </row>
    <row r="20" spans="1:17" x14ac:dyDescent="0.2">
      <c r="A20" s="19"/>
      <c r="B20" s="5"/>
      <c r="C20" s="5"/>
      <c r="D20" s="5"/>
      <c r="E20" s="5"/>
      <c r="F20" s="5"/>
      <c r="G20" s="5"/>
      <c r="H20" s="5"/>
      <c r="I20" s="5"/>
      <c r="J20" s="15"/>
      <c r="K20" s="15"/>
      <c r="L20" s="41"/>
      <c r="M20" s="41"/>
      <c r="N20" s="24"/>
      <c r="O20" s="24"/>
      <c r="P20" s="24"/>
      <c r="Q20" s="15"/>
    </row>
    <row r="21" spans="1:17" x14ac:dyDescent="0.2">
      <c r="A21" s="19"/>
      <c r="B21" s="5"/>
      <c r="C21" s="5"/>
      <c r="D21" s="5"/>
      <c r="E21" s="5"/>
      <c r="F21" s="5"/>
      <c r="G21" s="5"/>
      <c r="H21" s="5"/>
      <c r="I21" s="5"/>
      <c r="J21" s="15"/>
      <c r="K21" s="15"/>
      <c r="L21" s="41"/>
      <c r="M21" s="41"/>
      <c r="N21" s="24"/>
      <c r="O21" s="24"/>
      <c r="P21" s="24"/>
      <c r="Q21" s="15"/>
    </row>
    <row r="22" spans="1:17" x14ac:dyDescent="0.2">
      <c r="A22" s="19"/>
      <c r="B22" s="19"/>
      <c r="C22" s="19"/>
      <c r="D22" s="19"/>
      <c r="E22" s="19"/>
      <c r="F22" s="19"/>
      <c r="G22" s="19"/>
      <c r="H22" s="19"/>
      <c r="I22" s="19"/>
      <c r="J22" s="15"/>
      <c r="K22" s="15"/>
      <c r="L22" s="41"/>
      <c r="M22" s="41"/>
      <c r="N22" s="24"/>
      <c r="O22" s="24"/>
      <c r="P22" s="24"/>
      <c r="Q22" s="15"/>
    </row>
    <row r="23" spans="1:17" x14ac:dyDescent="0.2">
      <c r="A23" s="19"/>
      <c r="B23" s="19"/>
      <c r="C23" s="19"/>
      <c r="D23" s="19"/>
      <c r="E23" s="19"/>
      <c r="F23" s="19"/>
      <c r="G23" s="19"/>
      <c r="H23" s="19"/>
      <c r="I23" s="19"/>
      <c r="J23" s="15"/>
      <c r="K23" s="15"/>
      <c r="L23" s="41"/>
      <c r="M23" s="41"/>
      <c r="N23" s="24"/>
      <c r="O23" s="24"/>
      <c r="P23" s="24"/>
      <c r="Q23" s="15"/>
    </row>
    <row r="24" spans="1:17" x14ac:dyDescent="0.2">
      <c r="A24" s="19"/>
      <c r="B24" s="19"/>
      <c r="C24" s="19"/>
      <c r="D24" s="19"/>
      <c r="E24" s="19"/>
      <c r="F24" s="19"/>
      <c r="G24" s="19"/>
      <c r="H24" s="19"/>
      <c r="I24" s="19"/>
      <c r="J24" s="15"/>
      <c r="K24" s="15"/>
      <c r="L24" s="41"/>
      <c r="M24" s="41"/>
      <c r="N24" s="24"/>
      <c r="O24" s="24"/>
      <c r="P24" s="24"/>
      <c r="Q24" s="15"/>
    </row>
    <row r="25" spans="1:17" x14ac:dyDescent="0.2">
      <c r="A25" s="19"/>
      <c r="B25" s="19"/>
      <c r="C25" s="19"/>
      <c r="D25" s="19"/>
      <c r="E25" s="19"/>
      <c r="F25" s="19"/>
      <c r="G25" s="19"/>
      <c r="H25" s="19"/>
      <c r="I25" s="19"/>
      <c r="J25" s="15"/>
      <c r="K25" s="15"/>
      <c r="L25" s="41"/>
      <c r="M25" s="41"/>
      <c r="N25" s="24"/>
      <c r="O25" s="24"/>
      <c r="P25" s="24"/>
      <c r="Q25" s="15"/>
    </row>
    <row r="26" spans="1:17" x14ac:dyDescent="0.2">
      <c r="A26" s="19"/>
      <c r="B26" s="19"/>
      <c r="C26" s="19"/>
      <c r="D26" s="19"/>
      <c r="E26" s="19"/>
      <c r="F26" s="19"/>
      <c r="G26" s="19"/>
      <c r="H26" s="19"/>
      <c r="I26" s="19"/>
      <c r="J26" s="15"/>
      <c r="K26" s="15"/>
      <c r="L26" s="41"/>
      <c r="M26" s="41"/>
      <c r="N26" s="24"/>
      <c r="O26" s="15"/>
      <c r="P26" s="24"/>
      <c r="Q26" s="15"/>
    </row>
    <row r="27" spans="1:17" x14ac:dyDescent="0.2">
      <c r="A27" s="19"/>
      <c r="B27" s="19"/>
      <c r="C27" s="19"/>
      <c r="D27" s="19"/>
      <c r="E27" s="19"/>
      <c r="F27" s="19"/>
      <c r="G27" s="19"/>
      <c r="H27" s="19"/>
      <c r="I27" s="19"/>
      <c r="J27" s="15"/>
      <c r="K27" s="15"/>
      <c r="L27" s="41"/>
      <c r="M27" s="41"/>
      <c r="N27" s="24"/>
      <c r="O27" s="15"/>
      <c r="P27" s="24"/>
      <c r="Q27" s="15"/>
    </row>
    <row r="28" spans="1:17" x14ac:dyDescent="0.2">
      <c r="A28" s="19"/>
      <c r="B28" s="19"/>
      <c r="C28" s="19"/>
      <c r="D28" s="19"/>
      <c r="E28" s="19"/>
      <c r="F28" s="19"/>
      <c r="G28" s="19"/>
      <c r="H28" s="19"/>
      <c r="I28" s="19"/>
      <c r="J28" s="15"/>
      <c r="K28" s="15"/>
      <c r="L28" s="41"/>
      <c r="M28" s="41"/>
      <c r="N28" s="24"/>
      <c r="O28" s="15"/>
      <c r="P28" s="24"/>
      <c r="Q28" s="15"/>
    </row>
    <row r="29" spans="1:17" x14ac:dyDescent="0.2">
      <c r="A29" s="34"/>
      <c r="B29" s="34"/>
      <c r="C29" s="34"/>
      <c r="D29" s="34"/>
      <c r="E29" s="34"/>
      <c r="F29" s="34"/>
      <c r="G29" s="34"/>
      <c r="H29" s="34"/>
      <c r="I29" s="34"/>
      <c r="P29" s="21"/>
    </row>
    <row r="30" spans="1:17" x14ac:dyDescent="0.2">
      <c r="A30" s="34"/>
      <c r="B30" s="34"/>
      <c r="C30" s="34"/>
      <c r="D30" s="34"/>
      <c r="E30" s="34"/>
      <c r="F30" s="34"/>
      <c r="G30" s="34"/>
      <c r="H30" s="34"/>
      <c r="I30" s="34"/>
      <c r="P30" s="21"/>
    </row>
    <row r="31" spans="1:17" x14ac:dyDescent="0.2">
      <c r="P31" s="21"/>
    </row>
  </sheetData>
  <customSheetViews>
    <customSheetView guid="{41816220-B35C-45A9-9EE2-EC676D322318}">
      <selection activeCell="L21" sqref="L21"/>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I3"/>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pageSetUpPr autoPageBreaks="0"/>
  </sheetPr>
  <dimension ref="A2:G59"/>
  <sheetViews>
    <sheetView zoomScaleNormal="100" workbookViewId="0"/>
  </sheetViews>
  <sheetFormatPr defaultColWidth="9.109375" defaultRowHeight="14.25" x14ac:dyDescent="0.2"/>
  <cols>
    <col min="1" max="1" width="9.109375" style="3"/>
    <col min="2" max="2" width="27.6640625" style="3" customWidth="1"/>
    <col min="3" max="3" width="23.44140625" style="3" customWidth="1"/>
    <col min="4" max="4" width="22.6640625" style="3" customWidth="1"/>
    <col min="5" max="5" width="6.21875" style="36" bestFit="1" customWidth="1"/>
    <col min="6" max="6" width="6.33203125" style="3" customWidth="1"/>
    <col min="7" max="16384" width="9.109375" style="3"/>
  </cols>
  <sheetData>
    <row r="2" spans="2:7" ht="15" thickBot="1" x14ac:dyDescent="0.25"/>
    <row r="3" spans="2:7" ht="15" thickBot="1" x14ac:dyDescent="0.25">
      <c r="B3" s="174" t="s">
        <v>177</v>
      </c>
      <c r="C3" s="175"/>
      <c r="D3" s="176"/>
    </row>
    <row r="4" spans="2:7" ht="15" thickBot="1" x14ac:dyDescent="0.25">
      <c r="B4" s="61"/>
      <c r="C4" s="62" t="s">
        <v>178</v>
      </c>
      <c r="D4" s="62" t="s">
        <v>179</v>
      </c>
    </row>
    <row r="5" spans="2:7" x14ac:dyDescent="0.2">
      <c r="B5" s="63" t="s">
        <v>38</v>
      </c>
      <c r="C5" s="64"/>
      <c r="D5" s="64"/>
      <c r="F5" s="33"/>
    </row>
    <row r="6" spans="2:7" x14ac:dyDescent="0.2">
      <c r="B6" s="65" t="s">
        <v>26</v>
      </c>
      <c r="C6" s="66">
        <v>281105.65999999997</v>
      </c>
      <c r="D6" s="66">
        <v>294908.53000000003</v>
      </c>
      <c r="E6" s="47"/>
      <c r="F6" s="33"/>
    </row>
    <row r="7" spans="2:7" x14ac:dyDescent="0.2">
      <c r="B7" s="65" t="s">
        <v>27</v>
      </c>
      <c r="C7" s="66">
        <v>353408.59</v>
      </c>
      <c r="D7" s="66">
        <v>374484.84</v>
      </c>
      <c r="F7" s="33"/>
    </row>
    <row r="8" spans="2:7" x14ac:dyDescent="0.2">
      <c r="B8" s="65" t="s">
        <v>28</v>
      </c>
      <c r="C8" s="67">
        <v>80.529837000000001</v>
      </c>
      <c r="D8" s="67">
        <v>79.690524999999994</v>
      </c>
      <c r="F8" s="33"/>
    </row>
    <row r="9" spans="2:7" x14ac:dyDescent="0.2">
      <c r="B9" s="65" t="s">
        <v>29</v>
      </c>
      <c r="C9" s="66">
        <v>88258.910999999993</v>
      </c>
      <c r="D9" s="66">
        <v>90002.008000000002</v>
      </c>
      <c r="F9" s="33"/>
    </row>
    <row r="10" spans="2:7" x14ac:dyDescent="0.2">
      <c r="B10" s="65" t="s">
        <v>30</v>
      </c>
      <c r="C10" s="67">
        <v>3.2504526999999999</v>
      </c>
      <c r="D10" s="67">
        <v>3.3670803999999999</v>
      </c>
      <c r="F10" s="33"/>
      <c r="G10" s="21"/>
    </row>
    <row r="11" spans="2:7" x14ac:dyDescent="0.2">
      <c r="B11" s="65" t="s">
        <v>31</v>
      </c>
      <c r="C11" s="66">
        <v>29.061965000000001</v>
      </c>
      <c r="D11" s="66">
        <v>29.449973</v>
      </c>
      <c r="F11" s="33"/>
    </row>
    <row r="12" spans="2:7" x14ac:dyDescent="0.2">
      <c r="B12" s="65" t="s">
        <v>32</v>
      </c>
      <c r="C12" s="66">
        <v>1290.6032</v>
      </c>
      <c r="D12" s="66">
        <v>1271.4909</v>
      </c>
      <c r="F12" s="33"/>
    </row>
    <row r="13" spans="2:7" x14ac:dyDescent="0.2">
      <c r="B13" s="65" t="s">
        <v>33</v>
      </c>
      <c r="C13" s="67">
        <v>3.5370303000000001</v>
      </c>
      <c r="D13" s="67">
        <v>4.1506704000000001</v>
      </c>
      <c r="F13" s="33"/>
    </row>
    <row r="14" spans="2:7" x14ac:dyDescent="0.2">
      <c r="B14" s="65" t="s">
        <v>43</v>
      </c>
      <c r="C14" s="67"/>
      <c r="D14" s="67"/>
      <c r="F14" s="33"/>
    </row>
    <row r="15" spans="2:7" x14ac:dyDescent="0.2">
      <c r="B15" s="68" t="s">
        <v>34</v>
      </c>
      <c r="C15" s="67">
        <v>92.900301999999996</v>
      </c>
      <c r="D15" s="67">
        <v>81.140587999999994</v>
      </c>
      <c r="F15" s="33"/>
    </row>
    <row r="16" spans="2:7" x14ac:dyDescent="0.2">
      <c r="B16" s="68" t="s">
        <v>35</v>
      </c>
      <c r="C16" s="67">
        <v>6.5754397999999998</v>
      </c>
      <c r="D16" s="67">
        <v>17.686337999999999</v>
      </c>
      <c r="F16" s="33"/>
    </row>
    <row r="17" spans="1:5" x14ac:dyDescent="0.2">
      <c r="B17" s="68" t="s">
        <v>36</v>
      </c>
      <c r="C17" s="67">
        <v>0.52425803999999998</v>
      </c>
      <c r="D17" s="67">
        <v>1.1730735000000001</v>
      </c>
    </row>
    <row r="18" spans="1:5" x14ac:dyDescent="0.2">
      <c r="B18" s="69" t="s">
        <v>37</v>
      </c>
      <c r="C18" s="67"/>
      <c r="D18" s="67"/>
    </row>
    <row r="19" spans="1:5" x14ac:dyDescent="0.2">
      <c r="B19" s="65" t="s">
        <v>39</v>
      </c>
      <c r="C19" s="66">
        <v>35.612084000000003</v>
      </c>
      <c r="D19" s="66">
        <v>35.785186000000003</v>
      </c>
    </row>
    <row r="20" spans="1:5" x14ac:dyDescent="0.2">
      <c r="B20" s="65" t="s">
        <v>40</v>
      </c>
      <c r="C20" s="67">
        <v>72.119057999999995</v>
      </c>
      <c r="D20" s="67">
        <v>69.090581</v>
      </c>
    </row>
    <row r="21" spans="1:5" x14ac:dyDescent="0.2">
      <c r="B21" s="65" t="s">
        <v>41</v>
      </c>
      <c r="C21" s="67">
        <v>96.543757999999997</v>
      </c>
      <c r="D21" s="67">
        <v>94.920606000000006</v>
      </c>
    </row>
    <row r="22" spans="1:5" x14ac:dyDescent="0.2">
      <c r="B22" s="65" t="s">
        <v>42</v>
      </c>
      <c r="C22" s="67"/>
      <c r="D22" s="67"/>
    </row>
    <row r="23" spans="1:5" x14ac:dyDescent="0.2">
      <c r="B23" s="68" t="s">
        <v>44</v>
      </c>
      <c r="C23" s="67">
        <v>29.098178999999998</v>
      </c>
      <c r="D23" s="67">
        <v>29.538073000000001</v>
      </c>
    </row>
    <row r="24" spans="1:5" x14ac:dyDescent="0.2">
      <c r="B24" s="68" t="s">
        <v>45</v>
      </c>
      <c r="C24" s="67">
        <v>33.869391</v>
      </c>
      <c r="D24" s="67">
        <v>33.264164999999998</v>
      </c>
    </row>
    <row r="25" spans="1:5" x14ac:dyDescent="0.2">
      <c r="B25" s="68" t="s">
        <v>46</v>
      </c>
      <c r="C25" s="67">
        <v>24.380275000000001</v>
      </c>
      <c r="D25" s="67">
        <v>24.855647999999999</v>
      </c>
    </row>
    <row r="26" spans="1:5" x14ac:dyDescent="0.2">
      <c r="B26" s="68" t="s">
        <v>140</v>
      </c>
      <c r="C26" s="67">
        <v>8.8760551000000003</v>
      </c>
      <c r="D26" s="67">
        <v>8.3634067000000005</v>
      </c>
    </row>
    <row r="27" spans="1:5" ht="15" thickBot="1" x14ac:dyDescent="0.25">
      <c r="B27" s="68" t="s">
        <v>47</v>
      </c>
      <c r="C27" s="67">
        <v>3.7760994999999999</v>
      </c>
      <c r="D27" s="67">
        <v>3.9787080000000001</v>
      </c>
    </row>
    <row r="28" spans="1:5" x14ac:dyDescent="0.2">
      <c r="B28" s="70" t="s">
        <v>194</v>
      </c>
      <c r="C28" s="71"/>
      <c r="D28" s="72"/>
    </row>
    <row r="29" spans="1:5" ht="38.1" customHeight="1" x14ac:dyDescent="0.2">
      <c r="B29" s="187" t="s">
        <v>150</v>
      </c>
      <c r="C29" s="188"/>
      <c r="D29" s="189"/>
    </row>
    <row r="30" spans="1:5" ht="15" thickBot="1" x14ac:dyDescent="0.25">
      <c r="B30" s="73" t="s">
        <v>191</v>
      </c>
      <c r="C30" s="74"/>
      <c r="D30" s="75"/>
    </row>
    <row r="31" spans="1:5" x14ac:dyDescent="0.2">
      <c r="A31" s="34"/>
      <c r="B31" s="43"/>
    </row>
    <row r="32" spans="1:5" ht="14.1" customHeight="1" x14ac:dyDescent="0.2">
      <c r="A32" s="34"/>
      <c r="B32" s="38"/>
      <c r="C32" s="35"/>
      <c r="D32" s="35"/>
      <c r="E32" s="37"/>
    </row>
    <row r="33" spans="1:5" x14ac:dyDescent="0.2">
      <c r="A33" s="34"/>
      <c r="B33" s="38"/>
      <c r="C33" s="35"/>
      <c r="D33" s="35"/>
      <c r="E33" s="37"/>
    </row>
    <row r="34" spans="1:5" x14ac:dyDescent="0.2">
      <c r="A34" s="34"/>
      <c r="B34" s="38"/>
      <c r="C34" s="35"/>
      <c r="D34" s="35"/>
      <c r="E34" s="37"/>
    </row>
    <row r="35" spans="1:5" x14ac:dyDescent="0.2">
      <c r="A35" s="34"/>
      <c r="B35" s="38"/>
      <c r="C35" s="35"/>
      <c r="D35" s="35"/>
      <c r="E35" s="37"/>
    </row>
    <row r="36" spans="1:5" x14ac:dyDescent="0.2">
      <c r="A36" s="34"/>
      <c r="B36" s="38"/>
      <c r="C36" s="35"/>
      <c r="D36" s="35"/>
      <c r="E36" s="37"/>
    </row>
    <row r="37" spans="1:5" x14ac:dyDescent="0.2">
      <c r="A37" s="34"/>
      <c r="B37" s="38"/>
      <c r="C37" s="35"/>
      <c r="D37" s="35"/>
      <c r="E37" s="37"/>
    </row>
    <row r="38" spans="1:5" x14ac:dyDescent="0.2">
      <c r="A38" s="34"/>
      <c r="B38" s="38"/>
      <c r="C38" s="35"/>
      <c r="D38" s="35"/>
      <c r="E38" s="37"/>
    </row>
    <row r="39" spans="1:5" x14ac:dyDescent="0.2">
      <c r="A39" s="34"/>
      <c r="B39" s="38"/>
      <c r="C39" s="35"/>
      <c r="D39" s="35"/>
      <c r="E39" s="37"/>
    </row>
    <row r="40" spans="1:5" x14ac:dyDescent="0.2">
      <c r="A40" s="34"/>
      <c r="B40" s="38"/>
      <c r="C40" s="35"/>
      <c r="D40" s="35"/>
      <c r="E40" s="37"/>
    </row>
    <row r="41" spans="1:5" x14ac:dyDescent="0.2">
      <c r="A41" s="34"/>
      <c r="B41" s="39"/>
      <c r="C41" s="35"/>
      <c r="D41" s="35"/>
      <c r="E41" s="37"/>
    </row>
    <row r="42" spans="1:5" x14ac:dyDescent="0.2">
      <c r="A42" s="34"/>
      <c r="B42" s="39"/>
      <c r="C42" s="35"/>
      <c r="D42" s="35"/>
      <c r="E42" s="37"/>
    </row>
    <row r="43" spans="1:5" x14ac:dyDescent="0.2">
      <c r="A43" s="34"/>
      <c r="B43" s="39"/>
      <c r="C43" s="35"/>
      <c r="D43" s="35"/>
      <c r="E43" s="37"/>
    </row>
    <row r="44" spans="1:5" x14ac:dyDescent="0.2">
      <c r="A44" s="34"/>
      <c r="B44" s="40"/>
      <c r="C44" s="35"/>
      <c r="D44" s="35"/>
      <c r="E44" s="37"/>
    </row>
    <row r="45" spans="1:5" x14ac:dyDescent="0.2">
      <c r="A45" s="34"/>
      <c r="B45" s="38"/>
      <c r="C45" s="35"/>
      <c r="D45" s="35"/>
      <c r="E45" s="37"/>
    </row>
    <row r="46" spans="1:5" x14ac:dyDescent="0.2">
      <c r="A46" s="34"/>
      <c r="B46" s="38"/>
      <c r="C46" s="35"/>
      <c r="D46" s="35"/>
      <c r="E46" s="37"/>
    </row>
    <row r="47" spans="1:5" x14ac:dyDescent="0.2">
      <c r="A47" s="34"/>
      <c r="B47" s="38"/>
      <c r="C47" s="35"/>
      <c r="D47" s="35"/>
      <c r="E47" s="37"/>
    </row>
    <row r="48" spans="1:5" x14ac:dyDescent="0.2">
      <c r="A48" s="34"/>
      <c r="B48" s="38"/>
      <c r="C48" s="35"/>
      <c r="D48" s="35"/>
      <c r="E48" s="37"/>
    </row>
    <row r="49" spans="1:5" x14ac:dyDescent="0.2">
      <c r="A49" s="34"/>
      <c r="B49" s="39"/>
      <c r="C49" s="35"/>
      <c r="D49" s="35"/>
      <c r="E49" s="37"/>
    </row>
    <row r="50" spans="1:5" x14ac:dyDescent="0.2">
      <c r="A50" s="34"/>
      <c r="B50" s="39"/>
      <c r="C50" s="35"/>
      <c r="D50" s="35"/>
      <c r="E50" s="37"/>
    </row>
    <row r="51" spans="1:5" x14ac:dyDescent="0.2">
      <c r="A51" s="34"/>
      <c r="B51" s="39"/>
      <c r="C51" s="35"/>
      <c r="D51" s="35"/>
      <c r="E51" s="37"/>
    </row>
    <row r="52" spans="1:5" x14ac:dyDescent="0.2">
      <c r="A52" s="34"/>
      <c r="B52" s="39"/>
      <c r="C52" s="35"/>
      <c r="D52" s="35"/>
      <c r="E52" s="37"/>
    </row>
    <row r="53" spans="1:5" x14ac:dyDescent="0.2">
      <c r="A53" s="34"/>
      <c r="B53" s="39"/>
      <c r="C53" s="35"/>
      <c r="D53" s="35"/>
      <c r="E53" s="37"/>
    </row>
    <row r="54" spans="1:5" x14ac:dyDescent="0.2">
      <c r="C54" s="35"/>
    </row>
    <row r="55" spans="1:5" x14ac:dyDescent="0.2">
      <c r="C55" s="35"/>
    </row>
    <row r="56" spans="1:5" x14ac:dyDescent="0.2">
      <c r="C56" s="35"/>
    </row>
    <row r="57" spans="1:5" x14ac:dyDescent="0.2">
      <c r="C57" s="35"/>
    </row>
    <row r="58" spans="1:5" x14ac:dyDescent="0.2">
      <c r="C58" s="35"/>
    </row>
    <row r="59" spans="1:5" x14ac:dyDescent="0.2">
      <c r="C59" s="35"/>
    </row>
  </sheetData>
  <customSheetViews>
    <customSheetView guid="{41816220-B35C-45A9-9EE2-EC676D322318}" topLeftCell="A4">
      <selection activeCell="E10" sqref="E1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29:D29"/>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autoPageBreaks="0"/>
  </sheetPr>
  <dimension ref="B2:AB112"/>
  <sheetViews>
    <sheetView workbookViewId="0"/>
  </sheetViews>
  <sheetFormatPr defaultColWidth="9.109375" defaultRowHeight="12" x14ac:dyDescent="0.2"/>
  <cols>
    <col min="1" max="10" width="9.109375" style="82"/>
    <col min="11" max="11" width="9.109375" style="82" customWidth="1"/>
    <col min="12" max="12" width="52.6640625" style="82" customWidth="1"/>
    <col min="13" max="13" width="30.33203125" style="82" customWidth="1"/>
    <col min="14" max="14" width="34.109375" style="82" customWidth="1"/>
    <col min="15" max="17" width="9.109375" style="82"/>
    <col min="18" max="18" width="11.109375" style="82" customWidth="1"/>
    <col min="19" max="19" width="9.109375" style="82"/>
    <col min="20" max="20" width="11.109375" style="82" customWidth="1"/>
    <col min="21" max="24" width="9.109375" style="82"/>
    <col min="25" max="25" width="23.6640625" style="82" customWidth="1"/>
    <col min="26" max="26" width="35" style="82" customWidth="1"/>
    <col min="27" max="27" width="35.6640625" style="82" customWidth="1"/>
    <col min="28" max="16384" width="9.109375" style="82"/>
  </cols>
  <sheetData>
    <row r="2" spans="2:27" ht="12.75" thickBot="1" x14ac:dyDescent="0.25"/>
    <row r="3" spans="2:27" ht="12.75" thickBot="1" x14ac:dyDescent="0.25">
      <c r="B3" s="158" t="s">
        <v>183</v>
      </c>
      <c r="C3" s="164"/>
      <c r="D3" s="164"/>
      <c r="E3" s="164"/>
      <c r="F3" s="164"/>
      <c r="G3" s="164"/>
      <c r="H3" s="164"/>
      <c r="I3" s="164"/>
      <c r="J3" s="165"/>
      <c r="L3" s="158" t="s">
        <v>200</v>
      </c>
      <c r="M3" s="164"/>
      <c r="N3" s="165"/>
      <c r="P3" s="158" t="s">
        <v>204</v>
      </c>
      <c r="Q3" s="164"/>
      <c r="R3" s="164"/>
      <c r="S3" s="164"/>
      <c r="T3" s="164"/>
      <c r="U3" s="164"/>
      <c r="V3" s="164"/>
      <c r="W3" s="165"/>
      <c r="Y3" s="158" t="s">
        <v>203</v>
      </c>
      <c r="Z3" s="164"/>
      <c r="AA3" s="165"/>
    </row>
    <row r="4" spans="2:27" ht="12.75" thickBot="1" x14ac:dyDescent="0.25">
      <c r="B4" s="61"/>
      <c r="C4" s="71"/>
      <c r="D4" s="71"/>
      <c r="E4" s="71"/>
      <c r="F4" s="71"/>
      <c r="G4" s="71"/>
      <c r="H4" s="71"/>
      <c r="I4" s="71"/>
      <c r="J4" s="72"/>
      <c r="L4" s="62" t="s">
        <v>127</v>
      </c>
      <c r="M4" s="78" t="s">
        <v>199</v>
      </c>
      <c r="N4" s="78" t="s">
        <v>201</v>
      </c>
      <c r="P4" s="61"/>
      <c r="Q4" s="71"/>
      <c r="R4" s="71"/>
      <c r="S4" s="71"/>
      <c r="T4" s="71"/>
      <c r="U4" s="71"/>
      <c r="V4" s="71"/>
      <c r="W4" s="72"/>
      <c r="Y4" s="62" t="s">
        <v>132</v>
      </c>
      <c r="Z4" s="78" t="s">
        <v>199</v>
      </c>
      <c r="AA4" s="78" t="s">
        <v>201</v>
      </c>
    </row>
    <row r="5" spans="2:27" x14ac:dyDescent="0.2">
      <c r="B5" s="65"/>
      <c r="C5" s="83"/>
      <c r="D5" s="83"/>
      <c r="E5" s="83"/>
      <c r="F5" s="83"/>
      <c r="G5" s="83"/>
      <c r="H5" s="83"/>
      <c r="I5" s="83"/>
      <c r="J5" s="84"/>
      <c r="K5" s="134"/>
      <c r="L5" s="88" t="s">
        <v>143</v>
      </c>
      <c r="M5" s="135">
        <v>2.6657199999999999E-2</v>
      </c>
      <c r="N5" s="135">
        <v>2.7080699999999999E-2</v>
      </c>
      <c r="O5" s="134"/>
      <c r="P5" s="65"/>
      <c r="Q5" s="83"/>
      <c r="R5" s="83"/>
      <c r="S5" s="83"/>
      <c r="T5" s="83"/>
      <c r="U5" s="83"/>
      <c r="V5" s="83"/>
      <c r="W5" s="84"/>
      <c r="Y5" s="136" t="s">
        <v>146</v>
      </c>
      <c r="Z5" s="135">
        <v>1.7769900000000002E-2</v>
      </c>
      <c r="AA5" s="135">
        <v>9.0220000000000005E-3</v>
      </c>
    </row>
    <row r="6" spans="2:27" x14ac:dyDescent="0.2">
      <c r="B6" s="65"/>
      <c r="C6" s="83"/>
      <c r="D6" s="83"/>
      <c r="E6" s="83"/>
      <c r="F6" s="83"/>
      <c r="G6" s="83"/>
      <c r="H6" s="83"/>
      <c r="I6" s="83"/>
      <c r="J6" s="84"/>
      <c r="L6" s="88" t="s">
        <v>96</v>
      </c>
      <c r="M6" s="135">
        <v>4.4428599999999999E-2</v>
      </c>
      <c r="N6" s="135">
        <v>6.3188300000000003E-2</v>
      </c>
      <c r="O6" s="134"/>
      <c r="P6" s="65"/>
      <c r="Q6" s="83"/>
      <c r="R6" s="83"/>
      <c r="S6" s="83"/>
      <c r="T6" s="83"/>
      <c r="U6" s="83"/>
      <c r="V6" s="83"/>
      <c r="W6" s="84"/>
      <c r="Y6" s="88" t="s">
        <v>147</v>
      </c>
      <c r="Z6" s="135">
        <v>7.1079500000000004E-2</v>
      </c>
      <c r="AA6" s="135">
        <v>0.14435220000000001</v>
      </c>
    </row>
    <row r="7" spans="2:27" x14ac:dyDescent="0.2">
      <c r="B7" s="65"/>
      <c r="C7" s="83"/>
      <c r="D7" s="83"/>
      <c r="E7" s="83"/>
      <c r="F7" s="83"/>
      <c r="G7" s="83"/>
      <c r="H7" s="83"/>
      <c r="I7" s="83"/>
      <c r="J7" s="84"/>
      <c r="L7" s="88" t="s">
        <v>97</v>
      </c>
      <c r="M7" s="135">
        <v>3.5542900000000002E-2</v>
      </c>
      <c r="N7" s="135">
        <v>8.1242099999999998E-2</v>
      </c>
      <c r="O7" s="134"/>
      <c r="P7" s="65"/>
      <c r="Q7" s="83"/>
      <c r="R7" s="83"/>
      <c r="S7" s="83"/>
      <c r="T7" s="83"/>
      <c r="U7" s="83"/>
      <c r="V7" s="83"/>
      <c r="W7" s="84"/>
      <c r="Y7" s="88" t="s">
        <v>54</v>
      </c>
      <c r="Z7" s="135">
        <v>0.2132386</v>
      </c>
      <c r="AA7" s="135">
        <v>0.25261640000000002</v>
      </c>
    </row>
    <row r="8" spans="2:27" x14ac:dyDescent="0.2">
      <c r="B8" s="65"/>
      <c r="C8" s="83"/>
      <c r="D8" s="83"/>
      <c r="E8" s="83"/>
      <c r="F8" s="83"/>
      <c r="G8" s="83"/>
      <c r="H8" s="83"/>
      <c r="I8" s="83"/>
      <c r="J8" s="84"/>
      <c r="L8" s="88" t="s">
        <v>98</v>
      </c>
      <c r="M8" s="135">
        <v>6.2200100000000001E-2</v>
      </c>
      <c r="N8" s="135">
        <v>7.2215199999999993E-2</v>
      </c>
      <c r="O8" s="134"/>
      <c r="P8" s="65"/>
      <c r="Q8" s="83"/>
      <c r="R8" s="83"/>
      <c r="S8" s="83"/>
      <c r="T8" s="83"/>
      <c r="U8" s="83"/>
      <c r="V8" s="83"/>
      <c r="W8" s="84"/>
      <c r="Y8" s="88" t="s">
        <v>55</v>
      </c>
      <c r="Z8" s="135">
        <v>0.35539759999999998</v>
      </c>
      <c r="AA8" s="135">
        <v>0.44207869999999999</v>
      </c>
    </row>
    <row r="9" spans="2:27" x14ac:dyDescent="0.2">
      <c r="B9" s="65"/>
      <c r="C9" s="83"/>
      <c r="D9" s="83"/>
      <c r="E9" s="83"/>
      <c r="F9" s="83"/>
      <c r="G9" s="83"/>
      <c r="H9" s="83"/>
      <c r="I9" s="83"/>
      <c r="J9" s="84"/>
      <c r="L9" s="88" t="s">
        <v>99</v>
      </c>
      <c r="M9" s="135">
        <v>0.15105740000000001</v>
      </c>
      <c r="N9" s="135">
        <v>0.1083228</v>
      </c>
      <c r="O9" s="134"/>
      <c r="P9" s="65"/>
      <c r="Q9" s="83"/>
      <c r="R9" s="83"/>
      <c r="S9" s="83"/>
      <c r="T9" s="83"/>
      <c r="U9" s="83"/>
      <c r="V9" s="83"/>
      <c r="W9" s="84"/>
      <c r="Y9" s="88" t="s">
        <v>56</v>
      </c>
      <c r="Z9" s="135">
        <v>0.84406930000000002</v>
      </c>
      <c r="AA9" s="135">
        <v>0.73980509999999999</v>
      </c>
    </row>
    <row r="10" spans="2:27" x14ac:dyDescent="0.2">
      <c r="B10" s="65"/>
      <c r="C10" s="83"/>
      <c r="D10" s="83"/>
      <c r="E10" s="83"/>
      <c r="F10" s="83"/>
      <c r="G10" s="83"/>
      <c r="H10" s="83"/>
      <c r="I10" s="83"/>
      <c r="J10" s="84"/>
      <c r="L10" s="88" t="s">
        <v>100</v>
      </c>
      <c r="M10" s="135">
        <v>0.11551450000000001</v>
      </c>
      <c r="N10" s="135">
        <v>0.14443039999999999</v>
      </c>
      <c r="O10" s="134"/>
      <c r="P10" s="65"/>
      <c r="Q10" s="83"/>
      <c r="R10" s="83"/>
      <c r="S10" s="83"/>
      <c r="T10" s="83"/>
      <c r="U10" s="83"/>
      <c r="V10" s="83"/>
      <c r="W10" s="84"/>
      <c r="Y10" s="88" t="s">
        <v>57</v>
      </c>
      <c r="Z10" s="135">
        <v>1.1550419999999999</v>
      </c>
      <c r="AA10" s="135">
        <v>1.3172140000000001</v>
      </c>
    </row>
    <row r="11" spans="2:27" x14ac:dyDescent="0.2">
      <c r="B11" s="65"/>
      <c r="C11" s="83"/>
      <c r="D11" s="83"/>
      <c r="E11" s="83"/>
      <c r="F11" s="83"/>
      <c r="G11" s="83"/>
      <c r="H11" s="83"/>
      <c r="I11" s="83"/>
      <c r="J11" s="84"/>
      <c r="L11" s="88" t="s">
        <v>101</v>
      </c>
      <c r="M11" s="135">
        <v>0.1688289</v>
      </c>
      <c r="N11" s="135">
        <v>0.14443039999999999</v>
      </c>
      <c r="O11" s="134"/>
      <c r="P11" s="65"/>
      <c r="Q11" s="83"/>
      <c r="R11" s="83"/>
      <c r="S11" s="83"/>
      <c r="T11" s="83"/>
      <c r="U11" s="83"/>
      <c r="V11" s="83"/>
      <c r="W11" s="84"/>
      <c r="Y11" s="88" t="s">
        <v>58</v>
      </c>
      <c r="Z11" s="135">
        <v>2.3367390000000001</v>
      </c>
      <c r="AA11" s="135">
        <v>1.7773369999999999</v>
      </c>
    </row>
    <row r="12" spans="2:27" x14ac:dyDescent="0.2">
      <c r="B12" s="65"/>
      <c r="C12" s="83"/>
      <c r="D12" s="83"/>
      <c r="E12" s="83"/>
      <c r="F12" s="83"/>
      <c r="G12" s="83"/>
      <c r="H12" s="83"/>
      <c r="I12" s="83"/>
      <c r="J12" s="84"/>
      <c r="L12" s="137" t="s">
        <v>102</v>
      </c>
      <c r="M12" s="135">
        <v>0.1066288</v>
      </c>
      <c r="N12" s="135">
        <v>0.1715111</v>
      </c>
      <c r="O12" s="134"/>
      <c r="P12" s="65"/>
      <c r="Q12" s="83"/>
      <c r="R12" s="83"/>
      <c r="S12" s="83"/>
      <c r="T12" s="83"/>
      <c r="U12" s="83"/>
      <c r="V12" s="83"/>
      <c r="W12" s="84"/>
      <c r="Y12" s="88" t="s">
        <v>59</v>
      </c>
      <c r="Z12" s="135">
        <v>3.118614</v>
      </c>
      <c r="AA12" s="135">
        <v>2.7246480000000002</v>
      </c>
    </row>
    <row r="13" spans="2:27" x14ac:dyDescent="0.2">
      <c r="B13" s="65"/>
      <c r="C13" s="83"/>
      <c r="D13" s="83"/>
      <c r="E13" s="83"/>
      <c r="F13" s="83"/>
      <c r="G13" s="83"/>
      <c r="H13" s="83"/>
      <c r="I13" s="83"/>
      <c r="J13" s="84"/>
      <c r="L13" s="88" t="s">
        <v>103</v>
      </c>
      <c r="M13" s="135">
        <v>0.1599431</v>
      </c>
      <c r="N13" s="135">
        <v>0.18956490000000001</v>
      </c>
      <c r="O13" s="134"/>
      <c r="P13" s="65"/>
      <c r="Q13" s="83"/>
      <c r="R13" s="83"/>
      <c r="S13" s="83"/>
      <c r="T13" s="83"/>
      <c r="U13" s="83"/>
      <c r="V13" s="83"/>
      <c r="W13" s="84"/>
      <c r="Y13" s="88" t="s">
        <v>60</v>
      </c>
      <c r="Z13" s="135">
        <v>4.2914260000000004</v>
      </c>
      <c r="AA13" s="135">
        <v>4.2944779999999998</v>
      </c>
    </row>
    <row r="14" spans="2:27" x14ac:dyDescent="0.2">
      <c r="B14" s="65"/>
      <c r="C14" s="83"/>
      <c r="D14" s="83"/>
      <c r="E14" s="83"/>
      <c r="F14" s="83"/>
      <c r="G14" s="83"/>
      <c r="H14" s="83"/>
      <c r="I14" s="83"/>
      <c r="J14" s="84"/>
      <c r="L14" s="88" t="s">
        <v>104</v>
      </c>
      <c r="M14" s="135">
        <v>0.23102900000000001</v>
      </c>
      <c r="N14" s="135">
        <v>0.28886079999999997</v>
      </c>
      <c r="O14" s="134"/>
      <c r="P14" s="65"/>
      <c r="Q14" s="83"/>
      <c r="R14" s="83"/>
      <c r="S14" s="83"/>
      <c r="T14" s="83"/>
      <c r="U14" s="83"/>
      <c r="V14" s="83"/>
      <c r="W14" s="84"/>
      <c r="Y14" s="88" t="s">
        <v>61</v>
      </c>
      <c r="Z14" s="135">
        <v>6.3793870000000004</v>
      </c>
      <c r="AA14" s="135">
        <v>5.8191990000000002</v>
      </c>
    </row>
    <row r="15" spans="2:27" x14ac:dyDescent="0.2">
      <c r="B15" s="65"/>
      <c r="C15" s="83"/>
      <c r="D15" s="83"/>
      <c r="E15" s="83"/>
      <c r="F15" s="83"/>
      <c r="G15" s="83"/>
      <c r="H15" s="83"/>
      <c r="I15" s="83"/>
      <c r="J15" s="84"/>
      <c r="L15" s="88" t="s">
        <v>105</v>
      </c>
      <c r="M15" s="135">
        <v>0.23102900000000001</v>
      </c>
      <c r="N15" s="135">
        <v>0.36107600000000001</v>
      </c>
      <c r="O15" s="134"/>
      <c r="P15" s="65"/>
      <c r="Q15" s="83"/>
      <c r="R15" s="83"/>
      <c r="S15" s="83"/>
      <c r="T15" s="83"/>
      <c r="U15" s="83"/>
      <c r="V15" s="83"/>
      <c r="W15" s="84"/>
      <c r="Y15" s="88" t="s">
        <v>62</v>
      </c>
      <c r="Z15" s="135">
        <v>9.3025319999999994</v>
      </c>
      <c r="AA15" s="135">
        <v>8.2280770000000008</v>
      </c>
    </row>
    <row r="16" spans="2:27" x14ac:dyDescent="0.2">
      <c r="B16" s="65"/>
      <c r="C16" s="83"/>
      <c r="D16" s="83"/>
      <c r="E16" s="83"/>
      <c r="F16" s="83"/>
      <c r="G16" s="83"/>
      <c r="H16" s="83"/>
      <c r="I16" s="83"/>
      <c r="J16" s="84"/>
      <c r="L16" s="88" t="s">
        <v>106</v>
      </c>
      <c r="M16" s="135">
        <v>0.31988630000000001</v>
      </c>
      <c r="N16" s="135">
        <v>0.3520491</v>
      </c>
      <c r="O16" s="134"/>
      <c r="P16" s="65"/>
      <c r="Q16" s="83"/>
      <c r="R16" s="83"/>
      <c r="S16" s="83"/>
      <c r="T16" s="83"/>
      <c r="U16" s="83"/>
      <c r="V16" s="83"/>
      <c r="W16" s="84"/>
      <c r="Y16" s="88" t="s">
        <v>63</v>
      </c>
      <c r="Z16" s="135">
        <v>12.43003</v>
      </c>
      <c r="AA16" s="135">
        <v>10.03248</v>
      </c>
    </row>
    <row r="17" spans="2:28" x14ac:dyDescent="0.2">
      <c r="B17" s="65"/>
      <c r="C17" s="83"/>
      <c r="D17" s="83"/>
      <c r="E17" s="83"/>
      <c r="F17" s="83"/>
      <c r="G17" s="83"/>
      <c r="H17" s="83"/>
      <c r="I17" s="83"/>
      <c r="J17" s="84"/>
      <c r="L17" s="88" t="s">
        <v>107</v>
      </c>
      <c r="M17" s="135">
        <v>0.32877200000000001</v>
      </c>
      <c r="N17" s="135">
        <v>0.41523739999999998</v>
      </c>
      <c r="O17" s="134"/>
      <c r="P17" s="65"/>
      <c r="Q17" s="83"/>
      <c r="R17" s="83"/>
      <c r="S17" s="83"/>
      <c r="T17" s="83"/>
      <c r="U17" s="83"/>
      <c r="V17" s="83"/>
      <c r="W17" s="84"/>
      <c r="Y17" s="88" t="s">
        <v>151</v>
      </c>
      <c r="Z17" s="135">
        <v>30.795200000000001</v>
      </c>
      <c r="AA17" s="135">
        <v>13.69542</v>
      </c>
    </row>
    <row r="18" spans="2:28" x14ac:dyDescent="0.2">
      <c r="B18" s="65"/>
      <c r="C18" s="83"/>
      <c r="D18" s="83"/>
      <c r="E18" s="83"/>
      <c r="F18" s="83"/>
      <c r="G18" s="83"/>
      <c r="H18" s="83"/>
      <c r="I18" s="83"/>
      <c r="J18" s="84"/>
      <c r="L18" s="88" t="s">
        <v>108</v>
      </c>
      <c r="M18" s="135">
        <v>0.3554292</v>
      </c>
      <c r="N18" s="135">
        <v>0.41523739999999998</v>
      </c>
      <c r="O18" s="134"/>
      <c r="P18" s="65"/>
      <c r="Q18" s="83"/>
      <c r="R18" s="83"/>
      <c r="S18" s="83"/>
      <c r="T18" s="83"/>
      <c r="U18" s="83"/>
      <c r="V18" s="83"/>
      <c r="W18" s="84"/>
      <c r="Y18" s="88" t="s">
        <v>65</v>
      </c>
      <c r="Z18" s="135">
        <v>8.2896490000000007</v>
      </c>
      <c r="AA18" s="135">
        <v>13.975099999999999</v>
      </c>
    </row>
    <row r="19" spans="2:28" x14ac:dyDescent="0.2">
      <c r="B19" s="65"/>
      <c r="C19" s="83"/>
      <c r="D19" s="83"/>
      <c r="E19" s="83"/>
      <c r="F19" s="83"/>
      <c r="G19" s="83"/>
      <c r="H19" s="83"/>
      <c r="I19" s="83"/>
      <c r="J19" s="84"/>
      <c r="L19" s="88" t="s">
        <v>109</v>
      </c>
      <c r="M19" s="135">
        <v>0.524258</v>
      </c>
      <c r="N19" s="135">
        <v>0.55064089999999999</v>
      </c>
      <c r="O19" s="134"/>
      <c r="P19" s="65"/>
      <c r="Q19" s="83"/>
      <c r="R19" s="83"/>
      <c r="S19" s="83"/>
      <c r="T19" s="83"/>
      <c r="U19" s="83"/>
      <c r="V19" s="83"/>
      <c r="W19" s="84"/>
      <c r="Y19" s="88" t="s">
        <v>66</v>
      </c>
      <c r="Z19" s="135">
        <v>16.74811</v>
      </c>
      <c r="AA19" s="135">
        <v>32.217610000000001</v>
      </c>
    </row>
    <row r="20" spans="2:28" x14ac:dyDescent="0.2">
      <c r="B20" s="65"/>
      <c r="C20" s="83"/>
      <c r="D20" s="83"/>
      <c r="E20" s="83"/>
      <c r="F20" s="83"/>
      <c r="G20" s="83"/>
      <c r="H20" s="83"/>
      <c r="I20" s="83"/>
      <c r="J20" s="84"/>
      <c r="L20" s="88" t="s">
        <v>110</v>
      </c>
      <c r="M20" s="135">
        <v>0.524258</v>
      </c>
      <c r="N20" s="135">
        <v>0.4603719</v>
      </c>
      <c r="O20" s="134"/>
      <c r="P20" s="65"/>
      <c r="Q20" s="83"/>
      <c r="R20" s="83"/>
      <c r="S20" s="83"/>
      <c r="T20" s="83"/>
      <c r="U20" s="83"/>
      <c r="V20" s="83"/>
      <c r="W20" s="84"/>
      <c r="Y20" s="88" t="s">
        <v>67</v>
      </c>
      <c r="Z20" s="135">
        <v>1.2172369999999999</v>
      </c>
      <c r="AA20" s="135">
        <v>1.1818839999999999</v>
      </c>
    </row>
    <row r="21" spans="2:28" x14ac:dyDescent="0.2">
      <c r="B21" s="65"/>
      <c r="C21" s="83"/>
      <c r="D21" s="83"/>
      <c r="E21" s="83"/>
      <c r="F21" s="83"/>
      <c r="G21" s="83"/>
      <c r="H21" s="83"/>
      <c r="I21" s="83"/>
      <c r="J21" s="84"/>
      <c r="L21" s="88" t="s">
        <v>111</v>
      </c>
      <c r="M21" s="135">
        <v>0.74640130000000005</v>
      </c>
      <c r="N21" s="135">
        <v>0.67701750000000005</v>
      </c>
      <c r="O21" s="134"/>
      <c r="P21" s="65"/>
      <c r="Q21" s="83"/>
      <c r="R21" s="83"/>
      <c r="S21" s="83"/>
      <c r="T21" s="83"/>
      <c r="U21" s="83"/>
      <c r="V21" s="83"/>
      <c r="W21" s="84"/>
      <c r="Y21" s="88" t="s">
        <v>145</v>
      </c>
      <c r="Z21" s="135">
        <v>1.5637490000000001</v>
      </c>
      <c r="AA21" s="135">
        <v>1.975821</v>
      </c>
    </row>
    <row r="22" spans="2:28" ht="12.75" thickBot="1" x14ac:dyDescent="0.25">
      <c r="B22" s="65"/>
      <c r="C22" s="83"/>
      <c r="D22" s="83"/>
      <c r="E22" s="83"/>
      <c r="F22" s="83"/>
      <c r="G22" s="83"/>
      <c r="H22" s="83"/>
      <c r="I22" s="83"/>
      <c r="J22" s="84"/>
      <c r="L22" s="88" t="s">
        <v>112</v>
      </c>
      <c r="M22" s="135">
        <v>0.75528700000000004</v>
      </c>
      <c r="N22" s="135">
        <v>0.83950170000000002</v>
      </c>
      <c r="O22" s="134"/>
      <c r="P22" s="65"/>
      <c r="Q22" s="83"/>
      <c r="R22" s="83"/>
      <c r="S22" s="83"/>
      <c r="T22" s="83"/>
      <c r="U22" s="83"/>
      <c r="V22" s="83"/>
      <c r="W22" s="84"/>
      <c r="Y22" s="88" t="s">
        <v>148</v>
      </c>
      <c r="Z22" s="135">
        <v>0.9</v>
      </c>
      <c r="AA22" s="135">
        <v>1.2</v>
      </c>
      <c r="AB22" s="134"/>
    </row>
    <row r="23" spans="2:28" ht="12.75" thickBot="1" x14ac:dyDescent="0.25">
      <c r="B23" s="65"/>
      <c r="C23" s="83"/>
      <c r="D23" s="83"/>
      <c r="E23" s="83"/>
      <c r="F23" s="83"/>
      <c r="G23" s="83"/>
      <c r="H23" s="83"/>
      <c r="I23" s="83"/>
      <c r="J23" s="84"/>
      <c r="L23" s="88" t="s">
        <v>113</v>
      </c>
      <c r="M23" s="135">
        <v>0.65754400000000002</v>
      </c>
      <c r="N23" s="135">
        <v>0.73117889999999996</v>
      </c>
      <c r="O23" s="134"/>
      <c r="P23" s="65"/>
      <c r="Q23" s="83"/>
      <c r="R23" s="83"/>
      <c r="S23" s="83"/>
      <c r="T23" s="83"/>
      <c r="U23" s="83"/>
      <c r="V23" s="83"/>
      <c r="W23" s="84"/>
      <c r="Y23" s="129" t="s">
        <v>212</v>
      </c>
      <c r="Z23" s="130"/>
      <c r="AA23" s="131"/>
    </row>
    <row r="24" spans="2:28" ht="12.75" thickBot="1" x14ac:dyDescent="0.25">
      <c r="B24" s="114"/>
      <c r="C24" s="74"/>
      <c r="D24" s="74"/>
      <c r="E24" s="74"/>
      <c r="F24" s="74"/>
      <c r="G24" s="74"/>
      <c r="H24" s="74"/>
      <c r="I24" s="74"/>
      <c r="J24" s="75"/>
      <c r="L24" s="88" t="s">
        <v>114</v>
      </c>
      <c r="M24" s="135">
        <v>0.72862979999999999</v>
      </c>
      <c r="N24" s="135">
        <v>0.77631340000000004</v>
      </c>
      <c r="O24" s="134"/>
      <c r="P24" s="114"/>
      <c r="Q24" s="74"/>
      <c r="R24" s="74"/>
      <c r="S24" s="74"/>
      <c r="T24" s="74"/>
      <c r="U24" s="74"/>
      <c r="V24" s="74"/>
      <c r="W24" s="75"/>
      <c r="Y24" s="103"/>
    </row>
    <row r="25" spans="2:28" x14ac:dyDescent="0.2">
      <c r="L25" s="88" t="s">
        <v>115</v>
      </c>
      <c r="M25" s="135">
        <v>0.80860140000000003</v>
      </c>
      <c r="N25" s="135">
        <v>0.77631340000000004</v>
      </c>
      <c r="O25" s="134"/>
      <c r="X25" s="103"/>
      <c r="Y25" s="103"/>
      <c r="Z25" s="134"/>
      <c r="AA25" s="134"/>
    </row>
    <row r="26" spans="2:28" x14ac:dyDescent="0.2">
      <c r="H26" s="134"/>
      <c r="I26" s="134"/>
      <c r="L26" s="88" t="s">
        <v>116</v>
      </c>
      <c r="M26" s="135">
        <v>1.057402</v>
      </c>
      <c r="N26" s="135">
        <v>1.074201</v>
      </c>
      <c r="O26" s="134"/>
      <c r="X26" s="138"/>
      <c r="Z26" s="102"/>
    </row>
    <row r="27" spans="2:28" x14ac:dyDescent="0.2">
      <c r="H27" s="134"/>
      <c r="I27" s="134"/>
      <c r="L27" s="88" t="s">
        <v>117</v>
      </c>
      <c r="M27" s="135">
        <v>1.2173449999999999</v>
      </c>
      <c r="N27" s="135">
        <v>1.381116</v>
      </c>
      <c r="O27" s="134"/>
      <c r="U27" s="102"/>
      <c r="V27" s="138"/>
      <c r="W27" s="103"/>
      <c r="Z27" s="102"/>
    </row>
    <row r="28" spans="2:28" x14ac:dyDescent="0.2">
      <c r="H28" s="134"/>
      <c r="I28" s="134"/>
      <c r="L28" s="88" t="s">
        <v>118</v>
      </c>
      <c r="M28" s="135">
        <v>0.99520169999999997</v>
      </c>
      <c r="N28" s="135">
        <v>1.128363</v>
      </c>
      <c r="O28" s="134"/>
      <c r="U28" s="102"/>
      <c r="V28" s="138"/>
      <c r="W28" s="103"/>
      <c r="Z28" s="102"/>
      <c r="AA28" s="138"/>
    </row>
    <row r="29" spans="2:28" x14ac:dyDescent="0.2">
      <c r="H29" s="134"/>
      <c r="I29" s="134"/>
      <c r="L29" s="88" t="s">
        <v>119</v>
      </c>
      <c r="M29" s="135">
        <v>1.1551450000000001</v>
      </c>
      <c r="N29" s="135">
        <v>1.444304</v>
      </c>
      <c r="O29" s="134"/>
      <c r="R29" s="134"/>
      <c r="U29" s="102"/>
      <c r="V29" s="102"/>
      <c r="W29" s="134"/>
      <c r="X29" s="102"/>
      <c r="Z29" s="102"/>
      <c r="AA29" s="138"/>
    </row>
    <row r="30" spans="2:28" x14ac:dyDescent="0.2">
      <c r="H30" s="134"/>
      <c r="I30" s="134"/>
      <c r="L30" s="88" t="s">
        <v>120</v>
      </c>
      <c r="M30" s="135">
        <v>1.261774</v>
      </c>
      <c r="N30" s="135">
        <v>1.326954</v>
      </c>
      <c r="O30" s="134"/>
      <c r="Q30" s="134"/>
      <c r="V30" s="102"/>
      <c r="W30" s="134"/>
      <c r="X30" s="102"/>
      <c r="Z30" s="102"/>
      <c r="AA30" s="138"/>
    </row>
    <row r="31" spans="2:28" x14ac:dyDescent="0.2">
      <c r="H31" s="134"/>
      <c r="I31" s="134"/>
      <c r="L31" s="88" t="s">
        <v>121</v>
      </c>
      <c r="M31" s="135">
        <v>1.608317</v>
      </c>
      <c r="N31" s="135">
        <v>1.615815</v>
      </c>
      <c r="O31" s="134"/>
      <c r="Q31" s="134"/>
      <c r="V31" s="102"/>
      <c r="W31" s="134"/>
      <c r="X31" s="102"/>
      <c r="Z31" s="102"/>
      <c r="AA31" s="138"/>
    </row>
    <row r="32" spans="2:28" x14ac:dyDescent="0.2">
      <c r="H32" s="134"/>
      <c r="I32" s="134"/>
      <c r="L32" s="88" t="s">
        <v>144</v>
      </c>
      <c r="M32" s="135">
        <v>3.1188910000000001</v>
      </c>
      <c r="N32" s="135">
        <v>3.692002</v>
      </c>
      <c r="O32" s="134"/>
      <c r="Q32" s="134"/>
      <c r="V32" s="102"/>
      <c r="W32" s="134"/>
      <c r="X32" s="102"/>
      <c r="Z32" s="102"/>
      <c r="AA32" s="138"/>
    </row>
    <row r="33" spans="8:27" x14ac:dyDescent="0.2">
      <c r="H33" s="134"/>
      <c r="I33" s="134"/>
      <c r="L33" s="88" t="s">
        <v>122</v>
      </c>
      <c r="M33" s="135">
        <v>3.127777</v>
      </c>
      <c r="N33" s="135">
        <v>3.7100559999999998</v>
      </c>
      <c r="O33" s="134"/>
      <c r="Q33" s="134"/>
      <c r="V33" s="102"/>
      <c r="W33" s="134"/>
      <c r="X33" s="102"/>
      <c r="Z33" s="102"/>
      <c r="AA33" s="138"/>
    </row>
    <row r="34" spans="8:27" x14ac:dyDescent="0.2">
      <c r="H34" s="134"/>
      <c r="I34" s="134"/>
      <c r="L34" s="88" t="s">
        <v>123</v>
      </c>
      <c r="M34" s="135">
        <v>2.8167759999999999</v>
      </c>
      <c r="N34" s="135">
        <v>3.1413609999999998</v>
      </c>
      <c r="O34" s="134"/>
      <c r="Q34" s="134"/>
      <c r="V34" s="102"/>
      <c r="W34" s="134"/>
      <c r="X34" s="102"/>
      <c r="Z34" s="102"/>
      <c r="AA34" s="138"/>
    </row>
    <row r="35" spans="8:27" x14ac:dyDescent="0.2">
      <c r="H35" s="134"/>
      <c r="I35" s="134"/>
      <c r="L35" s="88" t="s">
        <v>124</v>
      </c>
      <c r="M35" s="135">
        <v>3.1544340000000002</v>
      </c>
      <c r="N35" s="135">
        <v>3.457303</v>
      </c>
      <c r="O35" s="134"/>
      <c r="Q35" s="134"/>
      <c r="V35" s="102"/>
      <c r="W35" s="134"/>
      <c r="X35" s="102"/>
      <c r="Z35" s="102"/>
      <c r="AA35" s="138"/>
    </row>
    <row r="36" spans="8:27" x14ac:dyDescent="0.2">
      <c r="H36" s="134"/>
      <c r="I36" s="134"/>
      <c r="L36" s="88" t="s">
        <v>125</v>
      </c>
      <c r="M36" s="135">
        <v>3.3676919999999999</v>
      </c>
      <c r="N36" s="135">
        <v>3.8183790000000002</v>
      </c>
      <c r="O36" s="134"/>
      <c r="Q36" s="134"/>
      <c r="V36" s="102"/>
      <c r="W36" s="134"/>
      <c r="X36" s="102"/>
      <c r="Z36" s="102"/>
      <c r="AA36" s="138"/>
    </row>
    <row r="37" spans="8:27" x14ac:dyDescent="0.2">
      <c r="H37" s="134"/>
      <c r="I37" s="134"/>
      <c r="L37" s="88" t="s">
        <v>126</v>
      </c>
      <c r="M37" s="135">
        <v>5.8023819999999997</v>
      </c>
      <c r="N37" s="135">
        <v>5.4071129999999998</v>
      </c>
      <c r="O37" s="134"/>
      <c r="Q37" s="134"/>
      <c r="V37" s="102"/>
      <c r="W37" s="134"/>
      <c r="X37" s="102"/>
      <c r="Z37" s="102"/>
      <c r="AA37" s="138"/>
    </row>
    <row r="38" spans="8:27" x14ac:dyDescent="0.2">
      <c r="H38" s="134"/>
      <c r="I38" s="134"/>
      <c r="L38" s="88" t="s">
        <v>128</v>
      </c>
      <c r="M38" s="135">
        <v>4.2829220000000001</v>
      </c>
      <c r="N38" s="135">
        <v>4.341939</v>
      </c>
      <c r="O38" s="134"/>
      <c r="Q38" s="134"/>
      <c r="V38" s="102"/>
      <c r="W38" s="134"/>
      <c r="X38" s="102"/>
      <c r="Z38" s="102"/>
      <c r="AA38" s="138"/>
    </row>
    <row r="39" spans="8:27" x14ac:dyDescent="0.2">
      <c r="H39" s="134"/>
      <c r="I39" s="134"/>
      <c r="L39" s="88" t="s">
        <v>129</v>
      </c>
      <c r="M39" s="135">
        <v>4.682779</v>
      </c>
      <c r="N39" s="135">
        <v>4.5134499999999997</v>
      </c>
      <c r="O39" s="134"/>
      <c r="Q39" s="134"/>
      <c r="V39" s="102"/>
      <c r="W39" s="134"/>
      <c r="X39" s="102"/>
      <c r="Z39" s="102"/>
      <c r="AA39" s="138"/>
    </row>
    <row r="40" spans="8:27" x14ac:dyDescent="0.2">
      <c r="H40" s="134"/>
      <c r="I40" s="134"/>
      <c r="L40" s="88" t="s">
        <v>130</v>
      </c>
      <c r="M40" s="135">
        <v>5.4114089999999999</v>
      </c>
      <c r="N40" s="135">
        <v>5.2085210000000002</v>
      </c>
      <c r="O40" s="134"/>
      <c r="Q40" s="134"/>
      <c r="V40" s="102"/>
      <c r="W40" s="134"/>
      <c r="X40" s="102"/>
      <c r="Z40" s="102"/>
      <c r="AA40" s="103"/>
    </row>
    <row r="41" spans="8:27" x14ac:dyDescent="0.2">
      <c r="H41" s="134"/>
      <c r="I41" s="134"/>
      <c r="L41" s="88" t="s">
        <v>131</v>
      </c>
      <c r="M41" s="135">
        <v>6.122268</v>
      </c>
      <c r="N41" s="135">
        <v>6.1202379999999996</v>
      </c>
      <c r="O41" s="134"/>
      <c r="Q41" s="134"/>
      <c r="V41" s="102"/>
      <c r="W41" s="134"/>
      <c r="X41" s="102"/>
      <c r="Z41" s="102"/>
      <c r="AA41" s="103"/>
    </row>
    <row r="42" spans="8:27" x14ac:dyDescent="0.2">
      <c r="H42" s="134"/>
      <c r="I42" s="134"/>
      <c r="L42" s="88" t="s">
        <v>152</v>
      </c>
      <c r="M42" s="135">
        <v>43.73556</v>
      </c>
      <c r="N42" s="135">
        <v>40.936990000000002</v>
      </c>
      <c r="O42" s="134"/>
      <c r="Q42" s="134"/>
      <c r="V42" s="102"/>
      <c r="W42" s="134"/>
      <c r="X42" s="102"/>
      <c r="Z42" s="102"/>
      <c r="AA42" s="103"/>
    </row>
    <row r="43" spans="8:27" ht="12.75" thickBot="1" x14ac:dyDescent="0.25">
      <c r="H43" s="134"/>
      <c r="I43" s="134"/>
      <c r="L43" s="139" t="s">
        <v>142</v>
      </c>
      <c r="M43" s="135">
        <v>2.3840699999999999E-2</v>
      </c>
      <c r="N43" s="135">
        <v>7.8515000000000008E-3</v>
      </c>
      <c r="O43" s="134"/>
      <c r="Q43" s="134"/>
      <c r="V43" s="102"/>
      <c r="W43" s="134"/>
      <c r="X43" s="102"/>
    </row>
    <row r="44" spans="8:27" x14ac:dyDescent="0.2">
      <c r="H44" s="134"/>
      <c r="I44" s="134"/>
      <c r="L44" s="140" t="s">
        <v>211</v>
      </c>
      <c r="M44" s="71"/>
      <c r="N44" s="72"/>
      <c r="Q44" s="134"/>
      <c r="V44" s="102"/>
      <c r="W44" s="134"/>
      <c r="X44" s="102"/>
      <c r="Y44" s="141"/>
      <c r="Z44" s="141"/>
    </row>
    <row r="45" spans="8:27" ht="12.75" thickBot="1" x14ac:dyDescent="0.25">
      <c r="H45" s="134"/>
      <c r="I45" s="134"/>
      <c r="L45" s="73" t="s">
        <v>202</v>
      </c>
      <c r="M45" s="74"/>
      <c r="N45" s="75"/>
      <c r="Q45" s="134"/>
      <c r="V45" s="102"/>
      <c r="W45" s="134"/>
      <c r="X45" s="102"/>
      <c r="AA45" s="103"/>
    </row>
    <row r="46" spans="8:27" x14ac:dyDescent="0.2">
      <c r="H46" s="134"/>
      <c r="I46" s="134"/>
      <c r="Q46" s="134"/>
      <c r="V46" s="134"/>
      <c r="W46" s="102"/>
      <c r="AA46" s="103"/>
    </row>
    <row r="47" spans="8:27" x14ac:dyDescent="0.2">
      <c r="H47" s="134"/>
      <c r="I47" s="134"/>
      <c r="M47" s="134"/>
      <c r="N47" s="134"/>
      <c r="Q47" s="134"/>
      <c r="V47" s="134"/>
      <c r="W47" s="102"/>
    </row>
    <row r="48" spans="8:27" x14ac:dyDescent="0.2">
      <c r="H48" s="134"/>
      <c r="I48" s="134"/>
      <c r="M48" s="102"/>
      <c r="N48" s="102"/>
      <c r="Q48" s="134"/>
      <c r="W48" s="103"/>
    </row>
    <row r="49" spans="8:23" x14ac:dyDescent="0.2">
      <c r="H49" s="134"/>
      <c r="I49" s="134"/>
      <c r="Q49" s="134"/>
      <c r="R49" s="102"/>
      <c r="V49" s="103"/>
      <c r="W49" s="103"/>
    </row>
    <row r="50" spans="8:23" x14ac:dyDescent="0.2">
      <c r="H50" s="134"/>
      <c r="I50" s="134"/>
      <c r="Q50" s="134"/>
      <c r="R50" s="102"/>
      <c r="V50" s="103"/>
      <c r="W50" s="103"/>
    </row>
    <row r="51" spans="8:23" x14ac:dyDescent="0.2">
      <c r="H51" s="134"/>
      <c r="I51" s="134"/>
      <c r="Q51" s="134"/>
      <c r="R51" s="102"/>
      <c r="V51" s="103"/>
      <c r="W51" s="103"/>
    </row>
    <row r="52" spans="8:23" x14ac:dyDescent="0.2">
      <c r="Q52" s="134"/>
      <c r="R52" s="102"/>
      <c r="V52" s="103"/>
      <c r="W52" s="103"/>
    </row>
    <row r="53" spans="8:23" x14ac:dyDescent="0.2">
      <c r="Q53" s="134"/>
      <c r="R53" s="102"/>
      <c r="V53" s="103"/>
      <c r="W53" s="103"/>
    </row>
    <row r="54" spans="8:23" x14ac:dyDescent="0.2">
      <c r="Q54" s="134"/>
      <c r="R54" s="102"/>
      <c r="V54" s="103"/>
      <c r="W54" s="103"/>
    </row>
    <row r="55" spans="8:23" x14ac:dyDescent="0.2">
      <c r="Q55" s="134"/>
      <c r="R55" s="102"/>
      <c r="V55" s="103"/>
      <c r="W55" s="103"/>
    </row>
    <row r="56" spans="8:23" x14ac:dyDescent="0.2">
      <c r="Q56" s="134"/>
      <c r="R56" s="102"/>
      <c r="V56" s="103"/>
      <c r="W56" s="103"/>
    </row>
    <row r="57" spans="8:23" x14ac:dyDescent="0.2">
      <c r="Q57" s="134"/>
      <c r="R57" s="102"/>
      <c r="V57" s="103"/>
      <c r="W57" s="103"/>
    </row>
    <row r="58" spans="8:23" x14ac:dyDescent="0.2">
      <c r="Q58" s="134"/>
      <c r="R58" s="102"/>
      <c r="V58" s="103"/>
      <c r="W58" s="103"/>
    </row>
    <row r="59" spans="8:23" x14ac:dyDescent="0.2">
      <c r="Q59" s="134"/>
      <c r="R59" s="102"/>
      <c r="V59" s="103"/>
      <c r="W59" s="103"/>
    </row>
    <row r="60" spans="8:23" x14ac:dyDescent="0.2">
      <c r="Q60" s="134"/>
      <c r="R60" s="102"/>
      <c r="V60" s="103"/>
      <c r="W60" s="103"/>
    </row>
    <row r="61" spans="8:23" x14ac:dyDescent="0.2">
      <c r="Q61" s="134"/>
      <c r="R61" s="102"/>
      <c r="V61" s="103"/>
      <c r="W61" s="103"/>
    </row>
    <row r="62" spans="8:23" x14ac:dyDescent="0.2">
      <c r="Q62" s="134"/>
      <c r="R62" s="102"/>
      <c r="V62" s="103"/>
      <c r="W62" s="103"/>
    </row>
    <row r="63" spans="8:23" x14ac:dyDescent="0.2">
      <c r="Q63" s="134"/>
      <c r="R63" s="102"/>
      <c r="V63" s="103"/>
      <c r="W63" s="103"/>
    </row>
    <row r="64" spans="8:23" x14ac:dyDescent="0.2">
      <c r="Q64" s="134"/>
      <c r="R64" s="102"/>
      <c r="V64" s="103"/>
      <c r="W64" s="103"/>
    </row>
    <row r="65" spans="2:24" x14ac:dyDescent="0.2">
      <c r="Q65" s="134"/>
      <c r="R65" s="102"/>
      <c r="V65" s="103"/>
      <c r="W65" s="103"/>
    </row>
    <row r="66" spans="2:24" x14ac:dyDescent="0.2">
      <c r="Q66" s="134"/>
      <c r="R66" s="102"/>
      <c r="V66" s="103"/>
      <c r="W66" s="103"/>
    </row>
    <row r="67" spans="2:24" x14ac:dyDescent="0.2">
      <c r="Q67" s="134"/>
      <c r="R67" s="102"/>
      <c r="V67" s="103"/>
      <c r="W67" s="103"/>
    </row>
    <row r="68" spans="2:24" x14ac:dyDescent="0.2">
      <c r="Q68" s="134"/>
      <c r="R68" s="134"/>
      <c r="S68" s="102"/>
      <c r="W68" s="103"/>
      <c r="X68" s="103"/>
    </row>
    <row r="69" spans="2:24" x14ac:dyDescent="0.2">
      <c r="W69" s="103"/>
      <c r="X69" s="103"/>
    </row>
    <row r="70" spans="2:24" x14ac:dyDescent="0.2">
      <c r="W70" s="103"/>
      <c r="X70" s="103"/>
    </row>
    <row r="71" spans="2:24" x14ac:dyDescent="0.2">
      <c r="W71" s="103"/>
      <c r="X71" s="103"/>
    </row>
    <row r="72" spans="2:24" x14ac:dyDescent="0.2">
      <c r="B72" s="82">
        <f>SUM(B65:B69)</f>
        <v>0</v>
      </c>
      <c r="W72" s="103"/>
      <c r="X72" s="103"/>
    </row>
    <row r="73" spans="2:24" x14ac:dyDescent="0.2">
      <c r="W73" s="103"/>
      <c r="X73" s="103"/>
    </row>
    <row r="74" spans="2:24" x14ac:dyDescent="0.2">
      <c r="W74" s="103"/>
      <c r="X74" s="103"/>
    </row>
    <row r="75" spans="2:24" x14ac:dyDescent="0.2">
      <c r="W75" s="103"/>
      <c r="X75" s="103"/>
    </row>
    <row r="76" spans="2:24" x14ac:dyDescent="0.2">
      <c r="W76" s="103"/>
      <c r="X76" s="103"/>
    </row>
    <row r="77" spans="2:24" x14ac:dyDescent="0.2">
      <c r="W77" s="103"/>
      <c r="X77" s="103"/>
    </row>
    <row r="78" spans="2:24" x14ac:dyDescent="0.2">
      <c r="W78" s="103"/>
      <c r="X78" s="103"/>
    </row>
    <row r="79" spans="2:24" x14ac:dyDescent="0.2">
      <c r="W79" s="103"/>
      <c r="X79" s="103"/>
    </row>
    <row r="80" spans="2:24" x14ac:dyDescent="0.2">
      <c r="W80" s="103"/>
      <c r="X80" s="103"/>
    </row>
    <row r="81" spans="23:24" x14ac:dyDescent="0.2">
      <c r="W81" s="103"/>
      <c r="X81" s="103"/>
    </row>
    <row r="82" spans="23:24" x14ac:dyDescent="0.2">
      <c r="W82" s="103"/>
      <c r="X82" s="103"/>
    </row>
    <row r="83" spans="23:24" x14ac:dyDescent="0.2">
      <c r="W83" s="103"/>
      <c r="X83" s="103"/>
    </row>
    <row r="84" spans="23:24" x14ac:dyDescent="0.2">
      <c r="W84" s="103"/>
      <c r="X84" s="103"/>
    </row>
    <row r="85" spans="23:24" x14ac:dyDescent="0.2">
      <c r="W85" s="103"/>
      <c r="X85" s="103"/>
    </row>
    <row r="102" spans="4:8" x14ac:dyDescent="0.2">
      <c r="H102" s="141"/>
    </row>
    <row r="103" spans="4:8" x14ac:dyDescent="0.2">
      <c r="H103" s="141"/>
    </row>
    <row r="106" spans="4:8" x14ac:dyDescent="0.2">
      <c r="D106" s="141"/>
    </row>
    <row r="107" spans="4:8" x14ac:dyDescent="0.2">
      <c r="D107" s="141"/>
    </row>
    <row r="111" spans="4:8" x14ac:dyDescent="0.2">
      <c r="H111" s="141"/>
    </row>
    <row r="112" spans="4:8" x14ac:dyDescent="0.2">
      <c r="H112" s="141"/>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L3:N3"/>
    <mergeCell ref="B3:J3"/>
    <mergeCell ref="P3:W3"/>
    <mergeCell ref="Y3:AA3"/>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5"/>
    <pageSetUpPr autoPageBreaks="0"/>
  </sheetPr>
  <dimension ref="A2:J69"/>
  <sheetViews>
    <sheetView workbookViewId="0"/>
  </sheetViews>
  <sheetFormatPr defaultColWidth="9.109375" defaultRowHeight="12" x14ac:dyDescent="0.2"/>
  <cols>
    <col min="1" max="1" width="9.109375" style="81"/>
    <col min="2" max="2" width="44" style="81" customWidth="1"/>
    <col min="3" max="3" width="22.88671875" style="81" customWidth="1"/>
    <col min="4" max="4" width="24" style="81" customWidth="1"/>
    <col min="5" max="5" width="9.109375" style="93"/>
    <col min="6" max="6" width="12.109375" style="81" customWidth="1"/>
    <col min="7" max="16384" width="9.109375" style="81"/>
  </cols>
  <sheetData>
    <row r="2" spans="2:10" ht="12.75" thickBot="1" x14ac:dyDescent="0.25"/>
    <row r="3" spans="2:10" ht="12.75" thickBot="1" x14ac:dyDescent="0.25">
      <c r="B3" s="174" t="s">
        <v>180</v>
      </c>
      <c r="C3" s="175"/>
      <c r="D3" s="176"/>
    </row>
    <row r="4" spans="2:10" ht="12.75" thickBot="1" x14ac:dyDescent="0.25">
      <c r="B4" s="77"/>
      <c r="C4" s="62" t="s">
        <v>178</v>
      </c>
      <c r="D4" s="62" t="s">
        <v>179</v>
      </c>
    </row>
    <row r="5" spans="2:10" x14ac:dyDescent="0.2">
      <c r="B5" s="69" t="s">
        <v>38</v>
      </c>
      <c r="C5" s="56"/>
      <c r="D5" s="56"/>
    </row>
    <row r="6" spans="2:10" x14ac:dyDescent="0.2">
      <c r="B6" s="65" t="s">
        <v>26</v>
      </c>
      <c r="C6" s="66">
        <v>326623.99</v>
      </c>
      <c r="D6" s="66">
        <v>344937.16</v>
      </c>
      <c r="F6" s="94"/>
      <c r="G6" s="94"/>
      <c r="H6" s="95"/>
      <c r="I6" s="95"/>
    </row>
    <row r="7" spans="2:10" x14ac:dyDescent="0.2">
      <c r="B7" s="65" t="s">
        <v>27</v>
      </c>
      <c r="C7" s="66">
        <v>510398.7</v>
      </c>
      <c r="D7" s="66">
        <v>546123.68000000005</v>
      </c>
      <c r="F7" s="94"/>
      <c r="G7" s="94"/>
      <c r="H7" s="95"/>
      <c r="I7" s="95"/>
    </row>
    <row r="8" spans="2:10" x14ac:dyDescent="0.2">
      <c r="B8" s="65" t="s">
        <v>28</v>
      </c>
      <c r="C8" s="96">
        <v>65.978598000000005</v>
      </c>
      <c r="D8" s="96">
        <v>65.895477</v>
      </c>
      <c r="F8" s="94"/>
      <c r="G8" s="94"/>
      <c r="H8" s="95"/>
      <c r="I8" s="95"/>
      <c r="J8" s="95"/>
    </row>
    <row r="9" spans="2:10" x14ac:dyDescent="0.2">
      <c r="B9" s="65" t="s">
        <v>29</v>
      </c>
      <c r="C9" s="66">
        <v>125563.08</v>
      </c>
      <c r="D9" s="66">
        <v>135025.46</v>
      </c>
      <c r="F9" s="94"/>
      <c r="G9" s="94"/>
      <c r="H9" s="97"/>
      <c r="I9" s="95"/>
      <c r="J9" s="95"/>
    </row>
    <row r="10" spans="2:10" x14ac:dyDescent="0.2">
      <c r="B10" s="65" t="s">
        <v>30</v>
      </c>
      <c r="C10" s="96">
        <v>2.7043352000000001</v>
      </c>
      <c r="D10" s="96">
        <v>2.6698458</v>
      </c>
      <c r="F10" s="94"/>
      <c r="G10" s="94"/>
      <c r="H10" s="97"/>
      <c r="I10" s="95"/>
      <c r="J10" s="95"/>
    </row>
    <row r="11" spans="2:10" x14ac:dyDescent="0.2">
      <c r="B11" s="65" t="s">
        <v>31</v>
      </c>
      <c r="C11" s="66">
        <v>23.990069999999999</v>
      </c>
      <c r="D11" s="66">
        <v>24.182814</v>
      </c>
      <c r="F11" s="94"/>
      <c r="G11" s="94"/>
      <c r="H11" s="97"/>
      <c r="I11" s="95"/>
      <c r="J11" s="95"/>
    </row>
    <row r="12" spans="2:10" x14ac:dyDescent="0.2">
      <c r="B12" s="65" t="s">
        <v>32</v>
      </c>
      <c r="C12" s="66">
        <v>1663.0643</v>
      </c>
      <c r="D12" s="66">
        <v>1655.5159000000001</v>
      </c>
      <c r="F12" s="94"/>
      <c r="G12" s="94"/>
      <c r="H12" s="97"/>
      <c r="I12" s="95"/>
      <c r="J12" s="95"/>
    </row>
    <row r="13" spans="2:10" x14ac:dyDescent="0.2">
      <c r="B13" s="65" t="s">
        <v>33</v>
      </c>
      <c r="C13" s="96">
        <v>3.4452891999999999</v>
      </c>
      <c r="D13" s="96">
        <v>4.1022333</v>
      </c>
      <c r="F13" s="94"/>
      <c r="I13" s="95"/>
      <c r="J13" s="95"/>
    </row>
    <row r="14" spans="2:10" x14ac:dyDescent="0.2">
      <c r="B14" s="65" t="s">
        <v>43</v>
      </c>
      <c r="C14" s="96"/>
      <c r="D14" s="96"/>
      <c r="F14" s="94"/>
      <c r="I14" s="95"/>
      <c r="J14" s="95"/>
    </row>
    <row r="15" spans="2:10" x14ac:dyDescent="0.2">
      <c r="B15" s="68" t="s">
        <v>34</v>
      </c>
      <c r="C15" s="96">
        <v>86.752336</v>
      </c>
      <c r="D15" s="96">
        <v>66.263114999999999</v>
      </c>
      <c r="F15" s="94"/>
      <c r="I15" s="95"/>
      <c r="J15" s="95"/>
    </row>
    <row r="16" spans="2:10" x14ac:dyDescent="0.2">
      <c r="B16" s="68" t="s">
        <v>35</v>
      </c>
      <c r="C16" s="96">
        <v>9.9299064999999995</v>
      </c>
      <c r="D16" s="96">
        <v>30.158729999999998</v>
      </c>
      <c r="I16" s="95"/>
      <c r="J16" s="95"/>
    </row>
    <row r="17" spans="2:10" x14ac:dyDescent="0.2">
      <c r="B17" s="68" t="s">
        <v>36</v>
      </c>
      <c r="C17" s="96">
        <v>3.3177569999999998</v>
      </c>
      <c r="D17" s="96">
        <v>3.5781543999999998</v>
      </c>
      <c r="I17" s="95"/>
      <c r="J17" s="95"/>
    </row>
    <row r="18" spans="2:10" x14ac:dyDescent="0.2">
      <c r="B18" s="69" t="s">
        <v>37</v>
      </c>
      <c r="C18" s="98"/>
      <c r="D18" s="98"/>
      <c r="I18" s="95"/>
      <c r="J18" s="95"/>
    </row>
    <row r="19" spans="2:10" x14ac:dyDescent="0.2">
      <c r="B19" s="65" t="s">
        <v>39</v>
      </c>
      <c r="C19" s="99">
        <v>42.488551000000001</v>
      </c>
      <c r="D19" s="99">
        <v>42.710293</v>
      </c>
      <c r="I19" s="95"/>
      <c r="J19" s="95"/>
    </row>
    <row r="20" spans="2:10" x14ac:dyDescent="0.2">
      <c r="B20" s="65" t="s">
        <v>40</v>
      </c>
      <c r="C20" s="100">
        <v>79.11215</v>
      </c>
      <c r="D20" s="100">
        <v>78.070411000000007</v>
      </c>
      <c r="I20" s="95"/>
      <c r="J20" s="95"/>
    </row>
    <row r="21" spans="2:10" x14ac:dyDescent="0.2">
      <c r="B21" s="65" t="s">
        <v>41</v>
      </c>
      <c r="C21" s="100">
        <v>92.032709999999994</v>
      </c>
      <c r="D21" s="100">
        <v>89.760817000000003</v>
      </c>
      <c r="I21" s="95"/>
      <c r="J21" s="95"/>
    </row>
    <row r="22" spans="2:10" x14ac:dyDescent="0.2">
      <c r="B22" s="65" t="s">
        <v>42</v>
      </c>
      <c r="C22" s="100"/>
      <c r="D22" s="100"/>
      <c r="I22" s="95"/>
      <c r="J22" s="95"/>
    </row>
    <row r="23" spans="2:10" x14ac:dyDescent="0.2">
      <c r="B23" s="68" t="s">
        <v>44</v>
      </c>
      <c r="C23" s="100">
        <v>35.911214999999999</v>
      </c>
      <c r="D23" s="100">
        <v>37.543671000000003</v>
      </c>
      <c r="I23" s="95"/>
      <c r="J23" s="95"/>
    </row>
    <row r="24" spans="2:10" x14ac:dyDescent="0.2">
      <c r="B24" s="68" t="s">
        <v>45</v>
      </c>
      <c r="C24" s="100">
        <v>28.738318</v>
      </c>
      <c r="D24" s="100">
        <v>29.158828</v>
      </c>
      <c r="I24" s="95"/>
      <c r="J24" s="95"/>
    </row>
    <row r="25" spans="2:10" x14ac:dyDescent="0.2">
      <c r="B25" s="68" t="s">
        <v>46</v>
      </c>
      <c r="C25" s="100">
        <v>22.616821999999999</v>
      </c>
      <c r="D25" s="100">
        <v>21.499597000000001</v>
      </c>
      <c r="I25" s="95"/>
      <c r="J25" s="95"/>
    </row>
    <row r="26" spans="2:10" x14ac:dyDescent="0.2">
      <c r="B26" s="68" t="s">
        <v>140</v>
      </c>
      <c r="C26" s="100">
        <v>9.4859813000000006</v>
      </c>
      <c r="D26" s="100">
        <v>8.3848427999999995</v>
      </c>
      <c r="I26" s="95"/>
      <c r="J26" s="95"/>
    </row>
    <row r="27" spans="2:10" ht="12.75" thickBot="1" x14ac:dyDescent="0.25">
      <c r="B27" s="68" t="s">
        <v>47</v>
      </c>
      <c r="C27" s="100">
        <v>3.2476636000000001</v>
      </c>
      <c r="D27" s="100">
        <v>3.4130609999999999</v>
      </c>
      <c r="I27" s="95"/>
      <c r="J27" s="95"/>
    </row>
    <row r="28" spans="2:10" x14ac:dyDescent="0.2">
      <c r="B28" s="70" t="s">
        <v>194</v>
      </c>
      <c r="C28" s="71"/>
      <c r="D28" s="72"/>
      <c r="I28" s="95"/>
      <c r="J28" s="95"/>
    </row>
    <row r="29" spans="2:10" x14ac:dyDescent="0.2">
      <c r="B29" s="101" t="s">
        <v>135</v>
      </c>
      <c r="C29" s="83"/>
      <c r="D29" s="84"/>
      <c r="I29" s="95"/>
      <c r="J29" s="95"/>
    </row>
    <row r="30" spans="2:10" x14ac:dyDescent="0.2">
      <c r="B30" s="101" t="s">
        <v>136</v>
      </c>
      <c r="C30" s="83"/>
      <c r="D30" s="84"/>
    </row>
    <row r="31" spans="2:10" ht="12.75" thickBot="1" x14ac:dyDescent="0.25">
      <c r="B31" s="73" t="s">
        <v>191</v>
      </c>
      <c r="C31" s="74"/>
      <c r="D31" s="75"/>
    </row>
    <row r="34" spans="1:5" x14ac:dyDescent="0.2">
      <c r="A34" s="82"/>
      <c r="B34" s="82"/>
      <c r="C34" s="82"/>
      <c r="D34" s="82"/>
      <c r="E34" s="102"/>
    </row>
    <row r="35" spans="1:5" x14ac:dyDescent="0.2">
      <c r="A35" s="82"/>
      <c r="B35" s="82"/>
      <c r="C35" s="82"/>
      <c r="D35" s="82"/>
      <c r="E35" s="102"/>
    </row>
    <row r="36" spans="1:5" x14ac:dyDescent="0.2">
      <c r="A36" s="103"/>
      <c r="B36" s="104"/>
      <c r="C36" s="105"/>
      <c r="D36" s="106"/>
      <c r="E36" s="107"/>
    </row>
    <row r="37" spans="1:5" x14ac:dyDescent="0.2">
      <c r="A37" s="103"/>
      <c r="B37" s="103"/>
      <c r="C37" s="108"/>
      <c r="D37" s="108"/>
      <c r="E37" s="107"/>
    </row>
    <row r="38" spans="1:5" x14ac:dyDescent="0.2">
      <c r="A38" s="103"/>
      <c r="B38" s="103"/>
      <c r="C38" s="108"/>
      <c r="D38" s="108"/>
      <c r="E38" s="107"/>
    </row>
    <row r="39" spans="1:5" x14ac:dyDescent="0.2">
      <c r="A39" s="103"/>
      <c r="B39" s="103"/>
      <c r="C39" s="108"/>
      <c r="D39" s="108"/>
      <c r="E39" s="107"/>
    </row>
    <row r="40" spans="1:5" x14ac:dyDescent="0.2">
      <c r="A40" s="103"/>
      <c r="B40" s="103"/>
      <c r="C40" s="108"/>
      <c r="D40" s="108"/>
      <c r="E40" s="107"/>
    </row>
    <row r="41" spans="1:5" x14ac:dyDescent="0.2">
      <c r="A41" s="103"/>
      <c r="B41" s="103"/>
      <c r="C41" s="108"/>
      <c r="D41" s="108"/>
      <c r="E41" s="107"/>
    </row>
    <row r="42" spans="1:5" x14ac:dyDescent="0.2">
      <c r="A42" s="103"/>
      <c r="B42" s="103"/>
      <c r="C42" s="108"/>
      <c r="D42" s="108"/>
      <c r="E42" s="107"/>
    </row>
    <row r="43" spans="1:5" x14ac:dyDescent="0.2">
      <c r="A43" s="103"/>
      <c r="B43" s="103"/>
      <c r="C43" s="108"/>
      <c r="D43" s="108"/>
      <c r="E43" s="107"/>
    </row>
    <row r="44" spans="1:5" x14ac:dyDescent="0.2">
      <c r="A44" s="103"/>
      <c r="B44" s="103"/>
      <c r="C44" s="108"/>
      <c r="D44" s="108"/>
      <c r="E44" s="107"/>
    </row>
    <row r="45" spans="1:5" x14ac:dyDescent="0.2">
      <c r="A45" s="103"/>
      <c r="B45" s="103"/>
      <c r="C45" s="108"/>
      <c r="D45" s="108"/>
      <c r="E45" s="107"/>
    </row>
    <row r="46" spans="1:5" x14ac:dyDescent="0.2">
      <c r="A46" s="103"/>
      <c r="B46" s="109"/>
      <c r="C46" s="108"/>
      <c r="D46" s="108"/>
      <c r="E46" s="107"/>
    </row>
    <row r="47" spans="1:5" x14ac:dyDescent="0.2">
      <c r="A47" s="103"/>
      <c r="B47" s="109"/>
      <c r="C47" s="108"/>
      <c r="D47" s="108"/>
      <c r="E47" s="107"/>
    </row>
    <row r="48" spans="1:5" x14ac:dyDescent="0.2">
      <c r="A48" s="103"/>
      <c r="B48" s="109"/>
      <c r="C48" s="108"/>
      <c r="D48" s="108"/>
      <c r="E48" s="107"/>
    </row>
    <row r="49" spans="1:5" x14ac:dyDescent="0.2">
      <c r="A49" s="103"/>
      <c r="B49" s="104"/>
      <c r="C49" s="108"/>
      <c r="D49" s="108"/>
      <c r="E49" s="107"/>
    </row>
    <row r="50" spans="1:5" x14ac:dyDescent="0.2">
      <c r="A50" s="103"/>
      <c r="B50" s="103"/>
      <c r="C50" s="108"/>
      <c r="D50" s="108"/>
      <c r="E50" s="107"/>
    </row>
    <row r="51" spans="1:5" x14ac:dyDescent="0.2">
      <c r="A51" s="103"/>
      <c r="B51" s="103"/>
      <c r="C51" s="108"/>
      <c r="D51" s="108"/>
      <c r="E51" s="107"/>
    </row>
    <row r="52" spans="1:5" x14ac:dyDescent="0.2">
      <c r="A52" s="103"/>
      <c r="B52" s="103"/>
      <c r="C52" s="108"/>
      <c r="D52" s="108"/>
      <c r="E52" s="107"/>
    </row>
    <row r="53" spans="1:5" x14ac:dyDescent="0.2">
      <c r="A53" s="103"/>
      <c r="B53" s="103"/>
      <c r="C53" s="108"/>
      <c r="D53" s="108"/>
      <c r="E53" s="107"/>
    </row>
    <row r="54" spans="1:5" x14ac:dyDescent="0.2">
      <c r="A54" s="103"/>
      <c r="B54" s="109"/>
      <c r="C54" s="108"/>
      <c r="D54" s="108"/>
      <c r="E54" s="107"/>
    </row>
    <row r="55" spans="1:5" x14ac:dyDescent="0.2">
      <c r="A55" s="103"/>
      <c r="B55" s="109"/>
      <c r="C55" s="108"/>
      <c r="D55" s="108"/>
      <c r="E55" s="107"/>
    </row>
    <row r="56" spans="1:5" x14ac:dyDescent="0.2">
      <c r="A56" s="103"/>
      <c r="B56" s="109"/>
      <c r="C56" s="108"/>
      <c r="D56" s="108"/>
      <c r="E56" s="107"/>
    </row>
    <row r="57" spans="1:5" x14ac:dyDescent="0.2">
      <c r="A57" s="103"/>
      <c r="B57" s="109"/>
      <c r="C57" s="108"/>
      <c r="D57" s="108"/>
      <c r="E57" s="107"/>
    </row>
    <row r="58" spans="1:5" x14ac:dyDescent="0.2">
      <c r="A58" s="103"/>
      <c r="B58" s="109"/>
      <c r="C58" s="108"/>
      <c r="D58" s="108"/>
      <c r="E58" s="107"/>
    </row>
    <row r="59" spans="1:5" x14ac:dyDescent="0.2">
      <c r="A59" s="103"/>
      <c r="B59" s="103"/>
      <c r="C59" s="108"/>
      <c r="D59" s="108"/>
      <c r="E59" s="107"/>
    </row>
    <row r="60" spans="1:5" x14ac:dyDescent="0.2">
      <c r="A60" s="103"/>
      <c r="B60" s="103"/>
      <c r="C60" s="103"/>
      <c r="D60" s="103"/>
      <c r="E60" s="107"/>
    </row>
    <row r="61" spans="1:5" x14ac:dyDescent="0.2">
      <c r="A61" s="103"/>
      <c r="B61" s="103"/>
      <c r="C61" s="103"/>
      <c r="D61" s="103"/>
      <c r="E61" s="107"/>
    </row>
    <row r="62" spans="1:5" x14ac:dyDescent="0.2">
      <c r="A62" s="103"/>
      <c r="B62" s="103"/>
      <c r="C62" s="103"/>
      <c r="D62" s="103"/>
      <c r="E62" s="107"/>
    </row>
    <row r="63" spans="1:5" x14ac:dyDescent="0.2">
      <c r="A63" s="82"/>
      <c r="B63" s="82"/>
      <c r="C63" s="82"/>
      <c r="D63" s="82"/>
      <c r="E63" s="102"/>
    </row>
    <row r="64" spans="1:5" x14ac:dyDescent="0.2">
      <c r="A64" s="82"/>
      <c r="B64" s="82"/>
      <c r="C64" s="82"/>
      <c r="D64" s="82"/>
      <c r="E64" s="102"/>
    </row>
    <row r="65" spans="1:5" x14ac:dyDescent="0.2">
      <c r="A65" s="82"/>
      <c r="B65" s="82"/>
      <c r="C65" s="82"/>
      <c r="D65" s="82"/>
      <c r="E65" s="102"/>
    </row>
    <row r="66" spans="1:5" x14ac:dyDescent="0.2">
      <c r="A66" s="82"/>
      <c r="B66" s="82"/>
      <c r="C66" s="82"/>
      <c r="D66" s="82"/>
      <c r="E66" s="102"/>
    </row>
    <row r="67" spans="1:5" x14ac:dyDescent="0.2">
      <c r="A67" s="82"/>
      <c r="B67" s="82"/>
      <c r="C67" s="82"/>
      <c r="D67" s="82"/>
      <c r="E67" s="102"/>
    </row>
    <row r="68" spans="1:5" x14ac:dyDescent="0.2">
      <c r="A68" s="82"/>
      <c r="B68" s="82"/>
      <c r="C68" s="82"/>
      <c r="D68" s="82"/>
      <c r="E68" s="102"/>
    </row>
    <row r="69" spans="1:5" x14ac:dyDescent="0.2">
      <c r="A69" s="82"/>
      <c r="B69" s="82"/>
      <c r="C69" s="82"/>
      <c r="D69" s="82"/>
      <c r="E69" s="102"/>
    </row>
  </sheetData>
  <customSheetViews>
    <customSheetView guid="{41816220-B35C-45A9-9EE2-EC676D322318}" topLeftCell="A5">
      <selection activeCell="G5"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D3"/>
  </mergeCells>
  <conditionalFormatting sqref="E27">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pageSetUpPr autoPageBreaks="0"/>
  </sheetPr>
  <dimension ref="B2:AH111"/>
  <sheetViews>
    <sheetView workbookViewId="0"/>
  </sheetViews>
  <sheetFormatPr defaultColWidth="9.109375" defaultRowHeight="14.25" x14ac:dyDescent="0.2"/>
  <cols>
    <col min="1" max="10" width="9.109375" style="15"/>
    <col min="11" max="11" width="9.109375" style="15" customWidth="1"/>
    <col min="12" max="12" width="37.109375" style="15" customWidth="1"/>
    <col min="13" max="13" width="34.6640625" style="15" customWidth="1"/>
    <col min="14" max="14" width="34.109375" style="15" customWidth="1"/>
    <col min="15" max="16" width="9.109375" style="15"/>
    <col min="17" max="20" width="10" style="15" customWidth="1"/>
    <col min="21" max="26" width="9.109375" style="15"/>
    <col min="27" max="27" width="23.6640625" style="15" customWidth="1"/>
    <col min="28" max="28" width="33.109375" style="15" customWidth="1"/>
    <col min="29" max="29" width="34.6640625" style="15" customWidth="1"/>
    <col min="30" max="16384" width="9.109375" style="15"/>
  </cols>
  <sheetData>
    <row r="2" spans="2:34" ht="15" thickBot="1" x14ac:dyDescent="0.25"/>
    <row r="3" spans="2:34" ht="15" thickBot="1" x14ac:dyDescent="0.25">
      <c r="B3" s="190" t="s">
        <v>205</v>
      </c>
      <c r="C3" s="191"/>
      <c r="D3" s="191"/>
      <c r="E3" s="191"/>
      <c r="F3" s="191"/>
      <c r="G3" s="191"/>
      <c r="H3" s="191"/>
      <c r="I3" s="191"/>
      <c r="J3" s="192"/>
      <c r="L3" s="190" t="s">
        <v>208</v>
      </c>
      <c r="M3" s="191"/>
      <c r="N3" s="192"/>
      <c r="P3" s="190" t="s">
        <v>206</v>
      </c>
      <c r="Q3" s="191"/>
      <c r="R3" s="191"/>
      <c r="S3" s="191"/>
      <c r="T3" s="191"/>
      <c r="U3" s="191"/>
      <c r="V3" s="191"/>
      <c r="W3" s="191"/>
      <c r="X3" s="192"/>
      <c r="AA3" s="190" t="s">
        <v>207</v>
      </c>
      <c r="AB3" s="191"/>
      <c r="AC3" s="192"/>
    </row>
    <row r="4" spans="2:34" ht="15" thickBot="1" x14ac:dyDescent="0.25">
      <c r="B4" s="9"/>
      <c r="C4" s="10"/>
      <c r="D4" s="10"/>
      <c r="E4" s="10"/>
      <c r="F4" s="10"/>
      <c r="G4" s="10"/>
      <c r="H4" s="10"/>
      <c r="I4" s="10"/>
      <c r="J4" s="17"/>
      <c r="L4" s="26" t="s">
        <v>127</v>
      </c>
      <c r="M4" s="42" t="s">
        <v>199</v>
      </c>
      <c r="N4" s="42" t="s">
        <v>201</v>
      </c>
      <c r="P4" s="9"/>
      <c r="Q4" s="10"/>
      <c r="R4" s="10"/>
      <c r="S4" s="10"/>
      <c r="T4" s="10"/>
      <c r="U4" s="10"/>
      <c r="V4" s="10"/>
      <c r="W4" s="10"/>
      <c r="X4" s="17"/>
      <c r="AA4" s="8" t="s">
        <v>132</v>
      </c>
      <c r="AB4" s="42" t="s">
        <v>199</v>
      </c>
      <c r="AC4" s="42" t="s">
        <v>201</v>
      </c>
    </row>
    <row r="5" spans="2:34" x14ac:dyDescent="0.2">
      <c r="B5" s="4"/>
      <c r="C5" s="5"/>
      <c r="D5" s="5"/>
      <c r="E5" s="5"/>
      <c r="F5" s="5"/>
      <c r="G5" s="5"/>
      <c r="H5" s="5"/>
      <c r="I5" s="5"/>
      <c r="J5" s="6"/>
      <c r="L5" s="1" t="s">
        <v>143</v>
      </c>
      <c r="M5" s="12">
        <v>0.25833729999999999</v>
      </c>
      <c r="N5" s="12">
        <v>0.29786079999999998</v>
      </c>
      <c r="O5" s="22"/>
      <c r="P5" s="4"/>
      <c r="Q5" s="5"/>
      <c r="R5" s="5"/>
      <c r="S5" s="5"/>
      <c r="T5" s="5"/>
      <c r="U5" s="5"/>
      <c r="V5" s="5"/>
      <c r="W5" s="5"/>
      <c r="X5" s="6"/>
      <c r="AA5" s="31" t="s">
        <v>146</v>
      </c>
      <c r="AB5" s="12">
        <v>0.42056070000000001</v>
      </c>
      <c r="AC5" s="12">
        <v>0.29569889999999999</v>
      </c>
      <c r="AG5" s="22"/>
      <c r="AH5" s="22"/>
    </row>
    <row r="6" spans="2:34" x14ac:dyDescent="0.2">
      <c r="B6" s="4"/>
      <c r="C6" s="5"/>
      <c r="D6" s="5"/>
      <c r="E6" s="5"/>
      <c r="F6" s="5"/>
      <c r="G6" s="5"/>
      <c r="H6" s="5"/>
      <c r="I6" s="5"/>
      <c r="J6" s="6"/>
      <c r="L6" s="2" t="s">
        <v>96</v>
      </c>
      <c r="M6" s="12">
        <v>0.46970410000000001</v>
      </c>
      <c r="N6" s="12">
        <v>0.48740860000000003</v>
      </c>
      <c r="O6" s="22"/>
      <c r="P6" s="4"/>
      <c r="Q6" s="5"/>
      <c r="R6" s="5"/>
      <c r="S6" s="5"/>
      <c r="T6" s="5"/>
      <c r="U6" s="5"/>
      <c r="V6" s="5"/>
      <c r="W6" s="5"/>
      <c r="X6" s="6"/>
      <c r="AA6" s="2" t="s">
        <v>147</v>
      </c>
      <c r="AB6" s="12">
        <v>0.77102800000000005</v>
      </c>
      <c r="AC6" s="12">
        <v>1.1559140000000001</v>
      </c>
      <c r="AG6" s="22"/>
      <c r="AH6" s="22"/>
    </row>
    <row r="7" spans="2:34" x14ac:dyDescent="0.2">
      <c r="B7" s="4"/>
      <c r="C7" s="5"/>
      <c r="D7" s="5"/>
      <c r="E7" s="5"/>
      <c r="F7" s="5"/>
      <c r="G7" s="5"/>
      <c r="H7" s="5"/>
      <c r="I7" s="5"/>
      <c r="J7" s="6"/>
      <c r="L7" s="2" t="s">
        <v>97</v>
      </c>
      <c r="M7" s="12">
        <v>0.46970410000000001</v>
      </c>
      <c r="N7" s="12">
        <v>0.56864340000000002</v>
      </c>
      <c r="O7" s="22"/>
      <c r="P7" s="4"/>
      <c r="Q7" s="5"/>
      <c r="R7" s="5"/>
      <c r="S7" s="5"/>
      <c r="T7" s="5"/>
      <c r="U7" s="5"/>
      <c r="V7" s="5"/>
      <c r="W7" s="5"/>
      <c r="X7" s="6"/>
      <c r="AA7" s="2" t="s">
        <v>54</v>
      </c>
      <c r="AB7" s="12">
        <v>1.892523</v>
      </c>
      <c r="AC7" s="12">
        <v>1.6935480000000001</v>
      </c>
      <c r="AG7" s="22"/>
      <c r="AH7" s="22"/>
    </row>
    <row r="8" spans="2:34" x14ac:dyDescent="0.2">
      <c r="B8" s="4"/>
      <c r="C8" s="5"/>
      <c r="D8" s="5"/>
      <c r="E8" s="5"/>
      <c r="F8" s="5"/>
      <c r="G8" s="5"/>
      <c r="H8" s="5"/>
      <c r="I8" s="5"/>
      <c r="J8" s="6"/>
      <c r="L8" s="2" t="s">
        <v>98</v>
      </c>
      <c r="M8" s="12">
        <v>0.39924850000000001</v>
      </c>
      <c r="N8" s="12">
        <v>0.62279989999999996</v>
      </c>
      <c r="O8" s="22"/>
      <c r="P8" s="4"/>
      <c r="Q8" s="5"/>
      <c r="R8" s="5"/>
      <c r="S8" s="5"/>
      <c r="T8" s="5"/>
      <c r="U8" s="5"/>
      <c r="V8" s="5"/>
      <c r="W8" s="5"/>
      <c r="X8" s="6"/>
      <c r="AA8" s="2" t="s">
        <v>55</v>
      </c>
      <c r="AB8" s="12">
        <v>2.6869160000000001</v>
      </c>
      <c r="AC8" s="12">
        <v>2.2311830000000001</v>
      </c>
      <c r="AG8" s="22"/>
      <c r="AH8" s="22"/>
    </row>
    <row r="9" spans="2:34" x14ac:dyDescent="0.2">
      <c r="B9" s="4"/>
      <c r="C9" s="5"/>
      <c r="D9" s="5"/>
      <c r="E9" s="5"/>
      <c r="F9" s="5"/>
      <c r="G9" s="5"/>
      <c r="H9" s="5"/>
      <c r="I9" s="5"/>
      <c r="J9" s="6"/>
      <c r="L9" s="2" t="s">
        <v>99</v>
      </c>
      <c r="M9" s="12">
        <v>0.70455610000000002</v>
      </c>
      <c r="N9" s="12">
        <v>0.70403470000000001</v>
      </c>
      <c r="O9" s="22"/>
      <c r="P9" s="4"/>
      <c r="Q9" s="5"/>
      <c r="R9" s="5"/>
      <c r="S9" s="5"/>
      <c r="T9" s="5"/>
      <c r="U9" s="5"/>
      <c r="V9" s="5"/>
      <c r="W9" s="5"/>
      <c r="X9" s="6"/>
      <c r="AA9" s="2" t="s">
        <v>56</v>
      </c>
      <c r="AB9" s="12">
        <v>3.1074769999999998</v>
      </c>
      <c r="AC9" s="12">
        <v>3.870968</v>
      </c>
      <c r="AG9" s="22"/>
      <c r="AH9" s="22"/>
    </row>
    <row r="10" spans="2:34" x14ac:dyDescent="0.2">
      <c r="B10" s="4"/>
      <c r="C10" s="5"/>
      <c r="D10" s="5"/>
      <c r="E10" s="5"/>
      <c r="F10" s="5"/>
      <c r="G10" s="5"/>
      <c r="H10" s="5"/>
      <c r="I10" s="5"/>
      <c r="J10" s="6"/>
      <c r="L10" s="2" t="s">
        <v>100</v>
      </c>
      <c r="M10" s="12">
        <v>0.70455610000000002</v>
      </c>
      <c r="N10" s="12">
        <v>0.62279989999999996</v>
      </c>
      <c r="O10" s="22"/>
      <c r="P10" s="4"/>
      <c r="Q10" s="5"/>
      <c r="R10" s="5"/>
      <c r="S10" s="5"/>
      <c r="T10" s="5"/>
      <c r="U10" s="5"/>
      <c r="V10" s="5"/>
      <c r="W10" s="5"/>
      <c r="X10" s="6"/>
      <c r="AA10" s="2" t="s">
        <v>57</v>
      </c>
      <c r="AB10" s="12">
        <v>4.4158879999999998</v>
      </c>
      <c r="AC10" s="12">
        <v>4.8655920000000004</v>
      </c>
      <c r="AG10" s="22"/>
      <c r="AH10" s="22"/>
    </row>
    <row r="11" spans="2:34" x14ac:dyDescent="0.2">
      <c r="B11" s="4"/>
      <c r="C11" s="5"/>
      <c r="D11" s="5"/>
      <c r="E11" s="5"/>
      <c r="F11" s="5"/>
      <c r="G11" s="5"/>
      <c r="H11" s="5"/>
      <c r="I11" s="5"/>
      <c r="J11" s="6"/>
      <c r="L11" s="2" t="s">
        <v>101</v>
      </c>
      <c r="M11" s="12">
        <v>0.65758570000000005</v>
      </c>
      <c r="N11" s="12">
        <v>0.94773890000000005</v>
      </c>
      <c r="O11" s="22"/>
      <c r="P11" s="4"/>
      <c r="Q11" s="5"/>
      <c r="R11" s="5"/>
      <c r="S11" s="5"/>
      <c r="T11" s="5"/>
      <c r="U11" s="5"/>
      <c r="V11" s="5"/>
      <c r="W11" s="5"/>
      <c r="X11" s="6"/>
      <c r="AA11" s="2" t="s">
        <v>58</v>
      </c>
      <c r="AB11" s="12">
        <v>6.3084110000000004</v>
      </c>
      <c r="AC11" s="12">
        <v>6.9086020000000001</v>
      </c>
      <c r="AG11" s="22"/>
      <c r="AH11" s="22"/>
    </row>
    <row r="12" spans="2:34" x14ac:dyDescent="0.2">
      <c r="B12" s="4"/>
      <c r="C12" s="5"/>
      <c r="D12" s="5"/>
      <c r="E12" s="5"/>
      <c r="F12" s="5"/>
      <c r="G12" s="5"/>
      <c r="H12" s="5"/>
      <c r="I12" s="5"/>
      <c r="J12" s="6"/>
      <c r="L12" s="28" t="s">
        <v>102</v>
      </c>
      <c r="M12" s="12">
        <v>0.86895259999999996</v>
      </c>
      <c r="N12" s="12">
        <v>0.83942589999999995</v>
      </c>
      <c r="O12" s="22"/>
      <c r="P12" s="4"/>
      <c r="Q12" s="5"/>
      <c r="R12" s="5"/>
      <c r="S12" s="5"/>
      <c r="T12" s="5"/>
      <c r="U12" s="5"/>
      <c r="V12" s="5"/>
      <c r="W12" s="5"/>
      <c r="X12" s="6"/>
      <c r="AA12" s="2" t="s">
        <v>59</v>
      </c>
      <c r="AB12" s="12">
        <v>7.406542</v>
      </c>
      <c r="AC12" s="12">
        <v>7.9301079999999997</v>
      </c>
      <c r="AG12" s="22"/>
      <c r="AH12" s="22"/>
    </row>
    <row r="13" spans="2:34" x14ac:dyDescent="0.2">
      <c r="B13" s="4"/>
      <c r="C13" s="5"/>
      <c r="D13" s="5"/>
      <c r="E13" s="5"/>
      <c r="F13" s="5"/>
      <c r="G13" s="5"/>
      <c r="H13" s="5"/>
      <c r="I13" s="5"/>
      <c r="J13" s="6"/>
      <c r="L13" s="2" t="s">
        <v>103</v>
      </c>
      <c r="M13" s="12">
        <v>1.2682009999999999</v>
      </c>
      <c r="N13" s="12">
        <v>1.0831299999999999</v>
      </c>
      <c r="O13" s="22"/>
      <c r="P13" s="4"/>
      <c r="Q13" s="5"/>
      <c r="R13" s="5"/>
      <c r="S13" s="5"/>
      <c r="T13" s="5"/>
      <c r="U13" s="5"/>
      <c r="V13" s="5"/>
      <c r="W13" s="5"/>
      <c r="X13" s="6"/>
      <c r="AA13" s="2" t="s">
        <v>60</v>
      </c>
      <c r="AB13" s="12">
        <v>8.4813080000000003</v>
      </c>
      <c r="AC13" s="12">
        <v>9.0053769999999993</v>
      </c>
      <c r="AG13" s="22"/>
      <c r="AH13" s="22"/>
    </row>
    <row r="14" spans="2:34" x14ac:dyDescent="0.2">
      <c r="B14" s="4"/>
      <c r="C14" s="5"/>
      <c r="D14" s="5"/>
      <c r="E14" s="5"/>
      <c r="F14" s="5"/>
      <c r="G14" s="5"/>
      <c r="H14" s="5"/>
      <c r="I14" s="5"/>
      <c r="J14" s="6"/>
      <c r="L14" s="2" t="s">
        <v>104</v>
      </c>
      <c r="M14" s="12">
        <v>1.221231</v>
      </c>
      <c r="N14" s="12">
        <v>1.5163819999999999</v>
      </c>
      <c r="O14" s="22"/>
      <c r="P14" s="4"/>
      <c r="Q14" s="5"/>
      <c r="R14" s="5"/>
      <c r="S14" s="5"/>
      <c r="T14" s="5"/>
      <c r="U14" s="5"/>
      <c r="V14" s="5"/>
      <c r="W14" s="5"/>
      <c r="X14" s="6"/>
      <c r="AA14" s="2" t="s">
        <v>61</v>
      </c>
      <c r="AB14" s="12">
        <v>10.46729</v>
      </c>
      <c r="AC14" s="12">
        <v>10.672040000000001</v>
      </c>
      <c r="AG14" s="22"/>
      <c r="AH14" s="22"/>
    </row>
    <row r="15" spans="2:34" x14ac:dyDescent="0.2">
      <c r="B15" s="4"/>
      <c r="C15" s="5"/>
      <c r="D15" s="5"/>
      <c r="E15" s="5"/>
      <c r="F15" s="5"/>
      <c r="G15" s="5"/>
      <c r="H15" s="5"/>
      <c r="I15" s="5"/>
      <c r="J15" s="6"/>
      <c r="L15" s="2" t="s">
        <v>105</v>
      </c>
      <c r="M15" s="12">
        <v>1.620479</v>
      </c>
      <c r="N15" s="12">
        <v>1.0831299999999999</v>
      </c>
      <c r="O15" s="22"/>
      <c r="P15" s="4"/>
      <c r="Q15" s="5"/>
      <c r="R15" s="5"/>
      <c r="S15" s="5"/>
      <c r="T15" s="5"/>
      <c r="U15" s="5"/>
      <c r="V15" s="5"/>
      <c r="W15" s="5"/>
      <c r="X15" s="6"/>
      <c r="AA15" s="2" t="s">
        <v>62</v>
      </c>
      <c r="AB15" s="12">
        <v>11.21495</v>
      </c>
      <c r="AC15" s="12">
        <v>11.1828</v>
      </c>
      <c r="AG15" s="22"/>
      <c r="AH15" s="22"/>
    </row>
    <row r="16" spans="2:34" x14ac:dyDescent="0.2">
      <c r="B16" s="4"/>
      <c r="C16" s="5"/>
      <c r="D16" s="5"/>
      <c r="E16" s="5"/>
      <c r="F16" s="5"/>
      <c r="G16" s="5"/>
      <c r="H16" s="5"/>
      <c r="I16" s="5"/>
      <c r="J16" s="6"/>
      <c r="L16" s="2" t="s">
        <v>106</v>
      </c>
      <c r="M16" s="12">
        <v>1.3151710000000001</v>
      </c>
      <c r="N16" s="12">
        <v>1.3809910000000001</v>
      </c>
      <c r="O16" s="22"/>
      <c r="P16" s="4"/>
      <c r="Q16" s="5"/>
      <c r="R16" s="5"/>
      <c r="S16" s="5"/>
      <c r="T16" s="5"/>
      <c r="U16" s="5"/>
      <c r="V16" s="5"/>
      <c r="W16" s="5"/>
      <c r="X16" s="6"/>
      <c r="AA16" s="2" t="s">
        <v>63</v>
      </c>
      <c r="AB16" s="12">
        <v>11.775700000000001</v>
      </c>
      <c r="AC16" s="12">
        <v>11.72043</v>
      </c>
      <c r="AG16" s="22"/>
      <c r="AH16" s="22"/>
    </row>
    <row r="17" spans="2:34" x14ac:dyDescent="0.2">
      <c r="B17" s="4"/>
      <c r="C17" s="5"/>
      <c r="D17" s="5"/>
      <c r="E17" s="5"/>
      <c r="F17" s="5"/>
      <c r="G17" s="5"/>
      <c r="H17" s="5"/>
      <c r="I17" s="5"/>
      <c r="J17" s="6"/>
      <c r="L17" s="2" t="s">
        <v>107</v>
      </c>
      <c r="M17" s="12">
        <v>1.573509</v>
      </c>
      <c r="N17" s="12">
        <v>1.624695</v>
      </c>
      <c r="O17" s="22"/>
      <c r="P17" s="4"/>
      <c r="Q17" s="5"/>
      <c r="R17" s="5"/>
      <c r="S17" s="5"/>
      <c r="T17" s="5"/>
      <c r="U17" s="5"/>
      <c r="V17" s="5"/>
      <c r="W17" s="5"/>
      <c r="X17" s="6"/>
      <c r="AA17" s="2" t="s">
        <v>64</v>
      </c>
      <c r="AB17" s="12">
        <v>26.425229999999999</v>
      </c>
      <c r="AC17" s="12">
        <v>22.607530000000001</v>
      </c>
      <c r="AG17" s="22"/>
      <c r="AH17" s="22"/>
    </row>
    <row r="18" spans="2:34" x14ac:dyDescent="0.2">
      <c r="B18" s="4"/>
      <c r="C18" s="5"/>
      <c r="D18" s="5"/>
      <c r="E18" s="5"/>
      <c r="F18" s="5"/>
      <c r="G18" s="5"/>
      <c r="H18" s="5"/>
      <c r="I18" s="5"/>
      <c r="J18" s="6"/>
      <c r="L18" s="2" t="s">
        <v>108</v>
      </c>
      <c r="M18" s="12">
        <v>1.526538</v>
      </c>
      <c r="N18" s="12">
        <v>1.3539129999999999</v>
      </c>
      <c r="O18" s="22"/>
      <c r="P18" s="4"/>
      <c r="Q18" s="5"/>
      <c r="R18" s="5"/>
      <c r="S18" s="5"/>
      <c r="T18" s="5"/>
      <c r="U18" s="5"/>
      <c r="V18" s="5"/>
      <c r="W18" s="5"/>
      <c r="X18" s="6"/>
      <c r="AA18" s="2" t="s">
        <v>65</v>
      </c>
      <c r="AB18" s="12">
        <v>1.0280370000000001</v>
      </c>
      <c r="AC18" s="12">
        <v>1.586022</v>
      </c>
      <c r="AG18" s="22"/>
      <c r="AH18" s="22"/>
    </row>
    <row r="19" spans="2:34" x14ac:dyDescent="0.2">
      <c r="B19" s="4"/>
      <c r="C19" s="5"/>
      <c r="D19" s="5"/>
      <c r="E19" s="5"/>
      <c r="F19" s="5"/>
      <c r="G19" s="5"/>
      <c r="H19" s="5"/>
      <c r="I19" s="5"/>
      <c r="J19" s="6"/>
      <c r="L19" s="2" t="s">
        <v>109</v>
      </c>
      <c r="M19" s="12">
        <v>1.6909350000000001</v>
      </c>
      <c r="N19" s="12">
        <v>2.4370430000000001</v>
      </c>
      <c r="O19" s="22"/>
      <c r="P19" s="4"/>
      <c r="Q19" s="5"/>
      <c r="R19" s="5"/>
      <c r="S19" s="5"/>
      <c r="T19" s="5"/>
      <c r="U19" s="5"/>
      <c r="V19" s="5"/>
      <c r="W19" s="5"/>
      <c r="X19" s="6"/>
      <c r="AA19" s="2" t="s">
        <v>66</v>
      </c>
      <c r="AB19" s="12">
        <v>1.7990649999999999</v>
      </c>
      <c r="AC19" s="12">
        <v>2.177419</v>
      </c>
      <c r="AG19" s="22"/>
      <c r="AH19" s="22"/>
    </row>
    <row r="20" spans="2:34" x14ac:dyDescent="0.2">
      <c r="B20" s="4"/>
      <c r="C20" s="5"/>
      <c r="D20" s="5"/>
      <c r="E20" s="5"/>
      <c r="F20" s="5"/>
      <c r="G20" s="5"/>
      <c r="H20" s="5"/>
      <c r="I20" s="5"/>
      <c r="J20" s="6"/>
      <c r="L20" s="2" t="s">
        <v>110</v>
      </c>
      <c r="M20" s="12">
        <v>2.1136680000000001</v>
      </c>
      <c r="N20" s="12">
        <v>2.545356</v>
      </c>
      <c r="O20" s="22"/>
      <c r="P20" s="4"/>
      <c r="Q20" s="5"/>
      <c r="R20" s="5"/>
      <c r="S20" s="5"/>
      <c r="T20" s="5"/>
      <c r="U20" s="5"/>
      <c r="V20" s="5"/>
      <c r="W20" s="5"/>
      <c r="X20" s="6"/>
      <c r="AA20" s="2" t="s">
        <v>67</v>
      </c>
      <c r="AB20" s="12">
        <v>0.88785049999999999</v>
      </c>
      <c r="AC20" s="12">
        <v>1.1559140000000001</v>
      </c>
      <c r="AG20" s="22"/>
      <c r="AH20" s="22"/>
    </row>
    <row r="21" spans="2:34" x14ac:dyDescent="0.2">
      <c r="B21" s="4"/>
      <c r="C21" s="5"/>
      <c r="D21" s="5"/>
      <c r="E21" s="5"/>
      <c r="F21" s="5"/>
      <c r="G21" s="5"/>
      <c r="H21" s="5"/>
      <c r="I21" s="5"/>
      <c r="J21" s="6"/>
      <c r="L21" s="2" t="s">
        <v>111</v>
      </c>
      <c r="M21" s="12">
        <v>1.6909350000000001</v>
      </c>
      <c r="N21" s="12">
        <v>1.7871649999999999</v>
      </c>
      <c r="O21" s="22"/>
      <c r="P21" s="4"/>
      <c r="Q21" s="5"/>
      <c r="R21" s="5"/>
      <c r="S21" s="5"/>
      <c r="T21" s="5"/>
      <c r="U21" s="5"/>
      <c r="V21" s="5"/>
      <c r="W21" s="5"/>
      <c r="X21" s="6"/>
      <c r="AA21" s="2" t="s">
        <v>145</v>
      </c>
      <c r="AB21" s="12">
        <v>0.911215</v>
      </c>
      <c r="AC21" s="12">
        <v>0.91397850000000003</v>
      </c>
      <c r="AG21" s="22"/>
      <c r="AH21" s="22"/>
    </row>
    <row r="22" spans="2:34" ht="15" thickBot="1" x14ac:dyDescent="0.25">
      <c r="B22" s="4"/>
      <c r="C22" s="5"/>
      <c r="D22" s="5"/>
      <c r="E22" s="5"/>
      <c r="F22" s="5"/>
      <c r="G22" s="5"/>
      <c r="H22" s="5"/>
      <c r="I22" s="5"/>
      <c r="J22" s="6"/>
      <c r="L22" s="2" t="s">
        <v>112</v>
      </c>
      <c r="M22" s="12">
        <v>2.7007989999999999</v>
      </c>
      <c r="N22" s="12">
        <v>3.6014080000000002</v>
      </c>
      <c r="O22" s="22"/>
      <c r="P22" s="4"/>
      <c r="Q22" s="5"/>
      <c r="R22" s="5"/>
      <c r="S22" s="5"/>
      <c r="T22" s="5"/>
      <c r="U22" s="5"/>
      <c r="V22" s="5"/>
      <c r="W22" s="5"/>
      <c r="X22" s="6"/>
      <c r="AA22" s="2" t="s">
        <v>148</v>
      </c>
      <c r="AB22" s="12">
        <v>3.8940799999999998E-2</v>
      </c>
      <c r="AC22" s="12">
        <v>1.0661E-2</v>
      </c>
      <c r="AG22" s="22"/>
      <c r="AH22" s="22"/>
    </row>
    <row r="23" spans="2:34" x14ac:dyDescent="0.2">
      <c r="B23" s="4"/>
      <c r="C23" s="5"/>
      <c r="D23" s="5"/>
      <c r="E23" s="5"/>
      <c r="F23" s="5"/>
      <c r="G23" s="5"/>
      <c r="H23" s="5"/>
      <c r="I23" s="5"/>
      <c r="J23" s="6"/>
      <c r="L23" s="2" t="s">
        <v>113</v>
      </c>
      <c r="M23" s="12">
        <v>2.2545799999999998</v>
      </c>
      <c r="N23" s="12">
        <v>2.0037910000000001</v>
      </c>
      <c r="O23" s="22"/>
      <c r="P23" s="4"/>
      <c r="Q23" s="5"/>
      <c r="R23" s="5"/>
      <c r="S23" s="5"/>
      <c r="T23" s="5"/>
      <c r="U23" s="5"/>
      <c r="V23" s="5"/>
      <c r="W23" s="5"/>
      <c r="X23" s="6"/>
      <c r="AA23" s="45" t="s">
        <v>210</v>
      </c>
      <c r="AB23" s="10"/>
      <c r="AC23" s="17"/>
    </row>
    <row r="24" spans="2:34" ht="15" thickBot="1" x14ac:dyDescent="0.25">
      <c r="B24" s="7"/>
      <c r="C24" s="11"/>
      <c r="D24" s="11"/>
      <c r="E24" s="11"/>
      <c r="F24" s="11"/>
      <c r="G24" s="11"/>
      <c r="H24" s="11"/>
      <c r="I24" s="11"/>
      <c r="J24" s="18"/>
      <c r="L24" s="2" t="s">
        <v>114</v>
      </c>
      <c r="M24" s="12">
        <v>2.3485209999999999</v>
      </c>
      <c r="N24" s="12">
        <v>2.4370430000000001</v>
      </c>
      <c r="O24" s="22"/>
      <c r="P24" s="7"/>
      <c r="Q24" s="11"/>
      <c r="R24" s="11"/>
      <c r="S24" s="11"/>
      <c r="T24" s="11"/>
      <c r="U24" s="11"/>
      <c r="V24" s="11"/>
      <c r="W24" s="11"/>
      <c r="X24" s="18"/>
      <c r="AA24" s="27" t="s">
        <v>202</v>
      </c>
      <c r="AB24" s="11"/>
      <c r="AC24" s="18"/>
    </row>
    <row r="25" spans="2:34" x14ac:dyDescent="0.2">
      <c r="L25" s="2" t="s">
        <v>115</v>
      </c>
      <c r="M25" s="12">
        <v>2.2780649999999998</v>
      </c>
      <c r="N25" s="12">
        <v>2.7890600000000001</v>
      </c>
      <c r="O25" s="22"/>
      <c r="Y25" s="19"/>
    </row>
    <row r="26" spans="2:34" x14ac:dyDescent="0.2">
      <c r="B26" s="19"/>
      <c r="C26" s="19"/>
      <c r="D26" s="19"/>
      <c r="E26" s="19"/>
      <c r="F26" s="19"/>
      <c r="G26" s="19"/>
      <c r="L26" s="2" t="s">
        <v>116</v>
      </c>
      <c r="M26" s="12">
        <v>2.7947389999999999</v>
      </c>
      <c r="N26" s="12">
        <v>3.1410779999999998</v>
      </c>
      <c r="O26" s="22"/>
      <c r="Y26" s="14"/>
      <c r="AC26" s="22"/>
    </row>
    <row r="27" spans="2:34" x14ac:dyDescent="0.2">
      <c r="B27" s="19"/>
      <c r="F27" s="19"/>
      <c r="L27" s="2" t="s">
        <v>117</v>
      </c>
      <c r="M27" s="12">
        <v>3.147017</v>
      </c>
      <c r="N27" s="12">
        <v>2.8161390000000002</v>
      </c>
      <c r="O27" s="22"/>
      <c r="U27" s="25"/>
      <c r="X27" s="14"/>
      <c r="AA27" s="25"/>
      <c r="AD27" s="14"/>
    </row>
    <row r="28" spans="2:34" x14ac:dyDescent="0.2">
      <c r="B28" s="19"/>
      <c r="F28" s="19"/>
      <c r="L28" s="2" t="s">
        <v>118</v>
      </c>
      <c r="M28" s="12">
        <v>2.7477689999999999</v>
      </c>
      <c r="N28" s="12">
        <v>2.518278</v>
      </c>
      <c r="O28" s="22"/>
      <c r="Y28" s="22"/>
      <c r="AA28" s="25"/>
      <c r="AD28" s="14"/>
    </row>
    <row r="29" spans="2:34" x14ac:dyDescent="0.2">
      <c r="B29" s="19"/>
      <c r="F29" s="19"/>
      <c r="L29" s="2" t="s">
        <v>119</v>
      </c>
      <c r="M29" s="12">
        <v>3.6402070000000002</v>
      </c>
      <c r="N29" s="12">
        <v>2.95153</v>
      </c>
      <c r="O29" s="22"/>
      <c r="Y29" s="25"/>
      <c r="AA29" s="25"/>
      <c r="AD29" s="14"/>
    </row>
    <row r="30" spans="2:34" x14ac:dyDescent="0.2">
      <c r="B30" s="19"/>
      <c r="F30" s="19"/>
      <c r="L30" s="2" t="s">
        <v>120</v>
      </c>
      <c r="M30" s="12">
        <v>3.147017</v>
      </c>
      <c r="N30" s="12">
        <v>3.1139990000000002</v>
      </c>
      <c r="O30" s="22"/>
      <c r="Q30" s="25"/>
      <c r="R30" s="25"/>
      <c r="Y30" s="25"/>
      <c r="AA30" s="25"/>
      <c r="AD30" s="14"/>
    </row>
    <row r="31" spans="2:34" x14ac:dyDescent="0.2">
      <c r="B31" s="19"/>
      <c r="F31" s="19"/>
      <c r="L31" s="2" t="s">
        <v>121</v>
      </c>
      <c r="M31" s="12">
        <v>3.6402070000000002</v>
      </c>
      <c r="N31" s="12">
        <v>3.3306260000000001</v>
      </c>
      <c r="O31" s="22"/>
      <c r="Q31" s="25"/>
      <c r="R31" s="25"/>
      <c r="Y31" s="25"/>
      <c r="AA31" s="25"/>
      <c r="AD31" s="14"/>
    </row>
    <row r="32" spans="2:34" x14ac:dyDescent="0.2">
      <c r="B32" s="19"/>
      <c r="F32" s="19"/>
      <c r="L32" s="2" t="s">
        <v>144</v>
      </c>
      <c r="M32" s="12">
        <v>4.0159700000000003</v>
      </c>
      <c r="N32" s="12">
        <v>3.2764690000000001</v>
      </c>
      <c r="O32" s="22"/>
      <c r="Q32" s="25"/>
      <c r="R32" s="25"/>
      <c r="Y32" s="25"/>
      <c r="AA32" s="25"/>
      <c r="AD32" s="14"/>
    </row>
    <row r="33" spans="2:30" x14ac:dyDescent="0.2">
      <c r="B33" s="19"/>
      <c r="F33" s="19"/>
      <c r="L33" s="2" t="s">
        <v>122</v>
      </c>
      <c r="M33" s="12">
        <v>2.8651949999999999</v>
      </c>
      <c r="N33" s="12">
        <v>3.6284860000000001</v>
      </c>
      <c r="O33" s="22"/>
      <c r="Q33" s="25"/>
      <c r="R33" s="25"/>
      <c r="Y33" s="25"/>
      <c r="AA33" s="25"/>
      <c r="AD33" s="14"/>
    </row>
    <row r="34" spans="2:30" x14ac:dyDescent="0.2">
      <c r="B34" s="19"/>
      <c r="F34" s="19"/>
      <c r="L34" s="2" t="s">
        <v>123</v>
      </c>
      <c r="M34" s="12">
        <v>3.5697510000000001</v>
      </c>
      <c r="N34" s="12">
        <v>3.303547</v>
      </c>
      <c r="O34" s="22"/>
      <c r="Q34" s="25"/>
      <c r="R34" s="25"/>
      <c r="Y34" s="25"/>
      <c r="AA34" s="25"/>
      <c r="AD34" s="14"/>
    </row>
    <row r="35" spans="2:30" x14ac:dyDescent="0.2">
      <c r="B35" s="19"/>
      <c r="F35" s="19"/>
      <c r="L35" s="2" t="s">
        <v>124</v>
      </c>
      <c r="M35" s="12">
        <v>3.7811180000000002</v>
      </c>
      <c r="N35" s="12">
        <v>3.1952340000000001</v>
      </c>
      <c r="O35" s="22"/>
      <c r="Q35" s="25"/>
      <c r="R35" s="25"/>
      <c r="Y35" s="25"/>
      <c r="AA35" s="25"/>
      <c r="AD35" s="14"/>
    </row>
    <row r="36" spans="2:30" x14ac:dyDescent="0.2">
      <c r="B36" s="19"/>
      <c r="F36" s="19"/>
      <c r="L36" s="2" t="s">
        <v>125</v>
      </c>
      <c r="M36" s="12">
        <v>4.3917330000000003</v>
      </c>
      <c r="N36" s="12">
        <v>3.303547</v>
      </c>
      <c r="O36" s="22"/>
      <c r="Q36" s="25"/>
      <c r="R36" s="25"/>
      <c r="AA36" s="25"/>
      <c r="AD36" s="14"/>
    </row>
    <row r="37" spans="2:30" x14ac:dyDescent="0.2">
      <c r="B37" s="19"/>
      <c r="F37" s="19"/>
      <c r="L37" s="2" t="s">
        <v>126</v>
      </c>
      <c r="M37" s="12">
        <v>15.00705</v>
      </c>
      <c r="N37" s="12">
        <v>6.5258599999999998</v>
      </c>
      <c r="O37" s="22"/>
      <c r="Q37" s="25"/>
      <c r="R37" s="25"/>
      <c r="Y37" s="25"/>
      <c r="AA37" s="25"/>
      <c r="AD37" s="14"/>
    </row>
    <row r="38" spans="2:30" x14ac:dyDescent="0.2">
      <c r="B38" s="19"/>
      <c r="F38" s="19"/>
      <c r="L38" s="2" t="s">
        <v>128</v>
      </c>
      <c r="M38" s="12">
        <v>1.7848759999999999</v>
      </c>
      <c r="N38" s="12">
        <v>2.3828870000000002</v>
      </c>
      <c r="O38" s="22"/>
      <c r="Q38" s="25"/>
      <c r="R38" s="25"/>
      <c r="Y38" s="25"/>
      <c r="AA38" s="25"/>
      <c r="AD38" s="14"/>
    </row>
    <row r="39" spans="2:30" x14ac:dyDescent="0.2">
      <c r="B39" s="19"/>
      <c r="F39" s="19"/>
      <c r="L39" s="2" t="s">
        <v>129</v>
      </c>
      <c r="M39" s="12">
        <v>1.2682009999999999</v>
      </c>
      <c r="N39" s="12">
        <v>2.8432170000000001</v>
      </c>
      <c r="O39" s="22"/>
      <c r="Q39" s="25"/>
      <c r="R39" s="25"/>
      <c r="Y39" s="25"/>
      <c r="AA39" s="25"/>
      <c r="AD39" s="14"/>
    </row>
    <row r="40" spans="2:30" x14ac:dyDescent="0.2">
      <c r="B40" s="19"/>
      <c r="F40" s="19"/>
      <c r="L40" s="2" t="s">
        <v>130</v>
      </c>
      <c r="M40" s="12">
        <v>1.878816</v>
      </c>
      <c r="N40" s="12">
        <v>2.6536689999999998</v>
      </c>
      <c r="O40" s="22"/>
      <c r="Q40" s="25"/>
      <c r="R40" s="25"/>
      <c r="Y40" s="25"/>
      <c r="AA40" s="25"/>
      <c r="AD40" s="14"/>
    </row>
    <row r="41" spans="2:30" x14ac:dyDescent="0.2">
      <c r="B41" s="19"/>
      <c r="F41" s="19"/>
      <c r="L41" s="2" t="s">
        <v>131</v>
      </c>
      <c r="M41" s="12">
        <v>1.9727570000000001</v>
      </c>
      <c r="N41" s="12">
        <v>2.9786079999999999</v>
      </c>
      <c r="O41" s="22"/>
      <c r="Q41" s="25"/>
      <c r="R41" s="25"/>
      <c r="Y41" s="25"/>
      <c r="AA41" s="25"/>
      <c r="AD41" s="19"/>
    </row>
    <row r="42" spans="2:30" x14ac:dyDescent="0.2">
      <c r="B42" s="19"/>
      <c r="F42" s="19"/>
      <c r="L42" s="2" t="s">
        <v>152</v>
      </c>
      <c r="M42" s="12">
        <v>12.21231</v>
      </c>
      <c r="N42" s="12">
        <v>17.275929999999999</v>
      </c>
      <c r="O42" s="22"/>
      <c r="Q42" s="25"/>
      <c r="R42" s="25"/>
      <c r="Y42" s="25"/>
      <c r="AA42" s="25"/>
      <c r="AD42" s="19"/>
    </row>
    <row r="43" spans="2:30" ht="15" thickBot="1" x14ac:dyDescent="0.25">
      <c r="B43" s="19"/>
      <c r="F43" s="19"/>
      <c r="L43" s="13" t="s">
        <v>142</v>
      </c>
      <c r="M43" s="12">
        <v>3.9123600000000001E-2</v>
      </c>
      <c r="N43" s="12">
        <v>0</v>
      </c>
      <c r="O43" s="22"/>
      <c r="Q43" s="25"/>
      <c r="R43" s="25"/>
      <c r="Y43" s="25"/>
      <c r="AA43" s="25"/>
      <c r="AD43" s="19"/>
    </row>
    <row r="44" spans="2:30" x14ac:dyDescent="0.2">
      <c r="B44" s="19"/>
      <c r="F44" s="19"/>
      <c r="L44" s="45" t="s">
        <v>209</v>
      </c>
      <c r="M44" s="29"/>
      <c r="N44" s="30"/>
      <c r="Q44" s="25"/>
      <c r="R44" s="25"/>
      <c r="AD44" s="25"/>
    </row>
    <row r="45" spans="2:30" ht="15" thickBot="1" x14ac:dyDescent="0.25">
      <c r="B45" s="19"/>
      <c r="F45" s="19"/>
      <c r="L45" s="27" t="s">
        <v>202</v>
      </c>
      <c r="M45" s="11"/>
      <c r="N45" s="18"/>
      <c r="Q45" s="25"/>
      <c r="R45" s="25"/>
      <c r="S45" s="25"/>
      <c r="U45" s="25"/>
      <c r="X45" s="19"/>
    </row>
    <row r="46" spans="2:30" x14ac:dyDescent="0.2">
      <c r="B46" s="19"/>
      <c r="F46" s="19"/>
      <c r="Q46" s="25"/>
      <c r="R46" s="25"/>
      <c r="S46" s="25"/>
      <c r="X46" s="19"/>
    </row>
    <row r="47" spans="2:30" x14ac:dyDescent="0.2">
      <c r="B47" s="19"/>
      <c r="F47" s="19"/>
      <c r="M47" s="22"/>
      <c r="Q47" s="25"/>
      <c r="R47" s="25"/>
      <c r="S47" s="25"/>
      <c r="X47" s="19"/>
    </row>
    <row r="48" spans="2:30" x14ac:dyDescent="0.2">
      <c r="B48" s="19"/>
      <c r="F48" s="19"/>
      <c r="Q48" s="25"/>
      <c r="R48" s="25"/>
      <c r="S48" s="25"/>
      <c r="X48" s="19"/>
    </row>
    <row r="49" spans="2:24" x14ac:dyDescent="0.2">
      <c r="B49" s="19"/>
      <c r="F49" s="19"/>
      <c r="N49" s="44"/>
      <c r="Q49" s="25"/>
      <c r="R49" s="25"/>
      <c r="S49" s="25"/>
      <c r="X49" s="19"/>
    </row>
    <row r="50" spans="2:24" x14ac:dyDescent="0.2">
      <c r="B50" s="19"/>
      <c r="F50" s="19"/>
      <c r="Q50" s="25"/>
      <c r="R50" s="25"/>
      <c r="S50" s="25"/>
      <c r="X50" s="19"/>
    </row>
    <row r="51" spans="2:24" x14ac:dyDescent="0.2">
      <c r="B51" s="19"/>
      <c r="F51" s="19"/>
      <c r="Q51" s="25"/>
      <c r="R51" s="25"/>
      <c r="S51" s="25"/>
      <c r="X51" s="19"/>
    </row>
    <row r="52" spans="2:24" x14ac:dyDescent="0.2">
      <c r="B52" s="19"/>
      <c r="F52" s="19"/>
      <c r="Q52" s="25"/>
      <c r="R52" s="25"/>
      <c r="S52" s="25"/>
      <c r="X52" s="19"/>
    </row>
    <row r="53" spans="2:24" x14ac:dyDescent="0.2">
      <c r="B53" s="19"/>
      <c r="F53" s="19"/>
      <c r="Q53" s="25"/>
      <c r="R53" s="25"/>
      <c r="S53" s="25"/>
      <c r="X53" s="19"/>
    </row>
    <row r="54" spans="2:24" x14ac:dyDescent="0.2">
      <c r="B54" s="19"/>
      <c r="F54" s="19"/>
      <c r="Q54" s="25"/>
      <c r="R54" s="25"/>
      <c r="S54" s="25"/>
      <c r="X54" s="19"/>
    </row>
    <row r="55" spans="2:24" x14ac:dyDescent="0.2">
      <c r="B55" s="19"/>
      <c r="F55" s="19"/>
      <c r="Q55" s="25"/>
      <c r="R55" s="25"/>
      <c r="S55" s="25"/>
      <c r="X55" s="19"/>
    </row>
    <row r="56" spans="2:24" x14ac:dyDescent="0.2">
      <c r="B56" s="19"/>
      <c r="F56" s="19"/>
      <c r="Q56" s="25"/>
      <c r="R56" s="25"/>
      <c r="S56" s="25"/>
      <c r="X56" s="19"/>
    </row>
    <row r="57" spans="2:24" x14ac:dyDescent="0.2">
      <c r="B57" s="19"/>
      <c r="F57" s="19"/>
      <c r="Q57" s="25"/>
      <c r="R57" s="25"/>
      <c r="S57" s="25"/>
      <c r="X57" s="19"/>
    </row>
    <row r="58" spans="2:24" x14ac:dyDescent="0.2">
      <c r="B58" s="19"/>
      <c r="F58" s="19"/>
      <c r="Q58" s="25"/>
      <c r="R58" s="25"/>
      <c r="S58" s="25"/>
      <c r="X58" s="19"/>
    </row>
    <row r="59" spans="2:24" x14ac:dyDescent="0.2">
      <c r="B59" s="19"/>
      <c r="F59" s="19"/>
      <c r="Q59" s="25"/>
      <c r="R59" s="25"/>
      <c r="S59" s="25"/>
      <c r="X59" s="19"/>
    </row>
    <row r="60" spans="2:24" x14ac:dyDescent="0.2">
      <c r="B60" s="19"/>
      <c r="F60" s="19"/>
      <c r="Q60" s="25"/>
      <c r="R60" s="25"/>
      <c r="S60" s="25"/>
      <c r="X60" s="19"/>
    </row>
    <row r="61" spans="2:24" x14ac:dyDescent="0.2">
      <c r="B61" s="19"/>
      <c r="F61" s="19"/>
      <c r="Q61" s="25"/>
      <c r="R61" s="25"/>
      <c r="S61" s="25"/>
      <c r="X61" s="19"/>
    </row>
    <row r="62" spans="2:24" x14ac:dyDescent="0.2">
      <c r="B62" s="19"/>
      <c r="F62" s="19"/>
      <c r="Q62" s="25"/>
      <c r="R62" s="25"/>
      <c r="S62" s="25"/>
      <c r="X62" s="19"/>
    </row>
    <row r="63" spans="2:24" x14ac:dyDescent="0.2">
      <c r="B63" s="19"/>
      <c r="F63" s="19"/>
      <c r="Q63" s="25"/>
      <c r="R63" s="25"/>
      <c r="S63" s="25"/>
      <c r="X63" s="19"/>
    </row>
    <row r="64" spans="2:24" x14ac:dyDescent="0.2">
      <c r="B64" s="19"/>
      <c r="F64" s="19"/>
      <c r="Q64" s="25"/>
      <c r="R64" s="25"/>
      <c r="S64" s="25"/>
      <c r="X64" s="19"/>
    </row>
    <row r="65" spans="2:25" x14ac:dyDescent="0.2">
      <c r="B65" s="19"/>
      <c r="F65" s="19"/>
      <c r="Q65" s="25"/>
      <c r="R65" s="25"/>
      <c r="S65" s="25"/>
      <c r="X65" s="19"/>
    </row>
    <row r="66" spans="2:25" x14ac:dyDescent="0.2">
      <c r="B66" s="19"/>
      <c r="F66" s="19"/>
      <c r="Q66" s="25"/>
      <c r="R66" s="25"/>
      <c r="S66" s="25"/>
      <c r="X66" s="19"/>
    </row>
    <row r="67" spans="2:25" x14ac:dyDescent="0.2">
      <c r="B67" s="19"/>
      <c r="F67" s="19"/>
      <c r="Q67" s="25"/>
      <c r="R67" s="25"/>
      <c r="S67" s="25"/>
      <c r="X67" s="19"/>
    </row>
    <row r="68" spans="2:25" x14ac:dyDescent="0.2">
      <c r="B68" s="19"/>
      <c r="F68" s="19"/>
      <c r="Q68" s="25"/>
      <c r="R68" s="25"/>
      <c r="S68" s="25"/>
      <c r="X68" s="19"/>
    </row>
    <row r="69" spans="2:25" x14ac:dyDescent="0.2">
      <c r="B69" s="19"/>
      <c r="F69" s="19"/>
      <c r="Q69" s="25"/>
      <c r="R69" s="25"/>
      <c r="S69" s="25"/>
      <c r="T69" s="25"/>
      <c r="Y69" s="19"/>
    </row>
    <row r="70" spans="2:25" x14ac:dyDescent="0.2">
      <c r="B70" s="19"/>
      <c r="C70" s="19"/>
      <c r="D70" s="19"/>
      <c r="E70" s="46"/>
      <c r="F70" s="19"/>
      <c r="G70" s="19"/>
      <c r="Y70" s="19"/>
    </row>
    <row r="71" spans="2:25" x14ac:dyDescent="0.2">
      <c r="B71" s="19"/>
      <c r="C71" s="19"/>
      <c r="D71" s="19"/>
      <c r="E71" s="19"/>
      <c r="F71" s="19"/>
      <c r="G71" s="19"/>
      <c r="Y71" s="19"/>
    </row>
    <row r="72" spans="2:25" x14ac:dyDescent="0.2">
      <c r="Y72" s="19"/>
    </row>
    <row r="73" spans="2:25" x14ac:dyDescent="0.2">
      <c r="Y73" s="19"/>
    </row>
    <row r="74" spans="2:25" x14ac:dyDescent="0.2">
      <c r="Y74" s="19"/>
    </row>
    <row r="75" spans="2:25" x14ac:dyDescent="0.2">
      <c r="Y75" s="19"/>
    </row>
    <row r="76" spans="2:25" x14ac:dyDescent="0.2">
      <c r="Y76" s="19"/>
    </row>
    <row r="77" spans="2:25" x14ac:dyDescent="0.2">
      <c r="Y77" s="19"/>
    </row>
    <row r="78" spans="2:25" x14ac:dyDescent="0.2">
      <c r="Y78" s="19"/>
    </row>
    <row r="79" spans="2:25" x14ac:dyDescent="0.2">
      <c r="Y79" s="19"/>
    </row>
    <row r="80" spans="2:25" x14ac:dyDescent="0.2">
      <c r="Y80" s="19"/>
    </row>
    <row r="81" spans="8:28" x14ac:dyDescent="0.2">
      <c r="Y81" s="19"/>
    </row>
    <row r="82" spans="8:28" x14ac:dyDescent="0.2">
      <c r="Y82" s="19"/>
    </row>
    <row r="83" spans="8:28" x14ac:dyDescent="0.2">
      <c r="Y83" s="19"/>
    </row>
    <row r="84" spans="8:28" x14ac:dyDescent="0.2">
      <c r="Y84" s="19"/>
    </row>
    <row r="85" spans="8:28" x14ac:dyDescent="0.2">
      <c r="Y85" s="19"/>
    </row>
    <row r="86" spans="8:28" x14ac:dyDescent="0.2">
      <c r="AB86" s="24"/>
    </row>
    <row r="93" spans="8:28" x14ac:dyDescent="0.2">
      <c r="H93" s="24"/>
    </row>
    <row r="94" spans="8:28" x14ac:dyDescent="0.2">
      <c r="H94" s="24"/>
    </row>
    <row r="110" spans="8:8" x14ac:dyDescent="0.2">
      <c r="H110" s="24"/>
    </row>
    <row r="111" spans="8:8" x14ac:dyDescent="0.2">
      <c r="H111" s="24"/>
    </row>
  </sheetData>
  <customSheetViews>
    <customSheetView guid="{41816220-B35C-45A9-9EE2-EC676D322318}">
      <selection activeCell="M40" sqref="M4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J3"/>
    <mergeCell ref="L3:N3"/>
    <mergeCell ref="P3:X3"/>
    <mergeCell ref="AA3:AC3"/>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pageSetUpPr autoPageBreaks="0"/>
  </sheetPr>
  <dimension ref="B2:E16"/>
  <sheetViews>
    <sheetView workbookViewId="0"/>
  </sheetViews>
  <sheetFormatPr defaultColWidth="9.109375" defaultRowHeight="12" x14ac:dyDescent="0.2"/>
  <cols>
    <col min="1" max="1" width="9.109375" style="81"/>
    <col min="2" max="2" width="40" style="81" customWidth="1"/>
    <col min="3" max="3" width="21.44140625" style="81" customWidth="1"/>
    <col min="4" max="4" width="28.5546875" style="81" customWidth="1"/>
    <col min="5" max="16384" width="9.109375" style="81"/>
  </cols>
  <sheetData>
    <row r="2" spans="2:5" ht="12.75" thickBot="1" x14ac:dyDescent="0.25"/>
    <row r="3" spans="2:5" ht="12.75" thickBot="1" x14ac:dyDescent="0.25">
      <c r="B3" s="174" t="s">
        <v>181</v>
      </c>
      <c r="C3" s="175"/>
      <c r="D3" s="176"/>
    </row>
    <row r="4" spans="2:5" ht="12.75" thickBot="1" x14ac:dyDescent="0.25">
      <c r="B4" s="77"/>
      <c r="C4" s="62" t="s">
        <v>178</v>
      </c>
      <c r="D4" s="62" t="s">
        <v>179</v>
      </c>
    </row>
    <row r="5" spans="2:5" x14ac:dyDescent="0.2">
      <c r="B5" s="69" t="s">
        <v>38</v>
      </c>
      <c r="C5" s="56"/>
      <c r="D5" s="56"/>
    </row>
    <row r="6" spans="2:5" x14ac:dyDescent="0.2">
      <c r="B6" s="65" t="s">
        <v>26</v>
      </c>
      <c r="C6" s="56">
        <v>158510.10999999999</v>
      </c>
      <c r="D6" s="56">
        <v>173255.51</v>
      </c>
      <c r="E6" s="95"/>
    </row>
    <row r="7" spans="2:5" x14ac:dyDescent="0.2">
      <c r="B7" s="65" t="s">
        <v>27</v>
      </c>
      <c r="C7" s="56">
        <v>268833.05</v>
      </c>
      <c r="D7" s="56">
        <v>318535.98</v>
      </c>
      <c r="E7" s="95"/>
    </row>
    <row r="8" spans="2:5" ht="12.75" thickBot="1" x14ac:dyDescent="0.25">
      <c r="B8" s="65" t="s">
        <v>28</v>
      </c>
      <c r="C8" s="110">
        <v>60.537520000000001</v>
      </c>
      <c r="D8" s="110">
        <v>58.093170000000001</v>
      </c>
      <c r="E8" s="97"/>
    </row>
    <row r="9" spans="2:5" x14ac:dyDescent="0.2">
      <c r="B9" s="70" t="s">
        <v>194</v>
      </c>
      <c r="C9" s="71"/>
      <c r="D9" s="72"/>
    </row>
    <row r="10" spans="2:5" x14ac:dyDescent="0.2">
      <c r="B10" s="101" t="s">
        <v>135</v>
      </c>
      <c r="C10" s="83"/>
      <c r="D10" s="84"/>
    </row>
    <row r="11" spans="2:5" x14ac:dyDescent="0.2">
      <c r="B11" s="101" t="s">
        <v>136</v>
      </c>
      <c r="C11" s="83"/>
      <c r="D11" s="84"/>
    </row>
    <row r="12" spans="2:5" ht="12.75" thickBot="1" x14ac:dyDescent="0.25">
      <c r="B12" s="73" t="s">
        <v>191</v>
      </c>
      <c r="C12" s="74"/>
      <c r="D12" s="75"/>
    </row>
    <row r="14" spans="2:5" x14ac:dyDescent="0.2">
      <c r="C14" s="97"/>
      <c r="D14" s="97"/>
    </row>
    <row r="15" spans="2:5" x14ac:dyDescent="0.2">
      <c r="C15" s="97"/>
      <c r="D15" s="97"/>
    </row>
    <row r="16" spans="2:5" x14ac:dyDescent="0.2">
      <c r="C16" s="97"/>
      <c r="D16" s="97"/>
    </row>
  </sheetData>
  <customSheetViews>
    <customSheetView guid="{41816220-B35C-45A9-9EE2-EC676D322318}">
      <selection activeCell="G1"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D3"/>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pageSetUpPr autoPageBreaks="0"/>
  </sheetPr>
  <dimension ref="B1:AB51"/>
  <sheetViews>
    <sheetView zoomScaleNormal="100" workbookViewId="0"/>
  </sheetViews>
  <sheetFormatPr defaultColWidth="9" defaultRowHeight="12" x14ac:dyDescent="0.2"/>
  <cols>
    <col min="1" max="1" width="9" style="81"/>
    <col min="2" max="2" width="9.6640625" style="112" customWidth="1"/>
    <col min="3" max="3" width="18.6640625" style="81" customWidth="1"/>
    <col min="4" max="4" width="12.44140625" style="81" customWidth="1"/>
    <col min="5" max="5" width="16" style="81" customWidth="1"/>
    <col min="6" max="6" width="12.44140625" style="81" customWidth="1"/>
    <col min="7" max="9" width="12.6640625" style="81" customWidth="1"/>
    <col min="10" max="10" width="16" style="81" customWidth="1"/>
    <col min="11" max="11" width="12.44140625" style="81" customWidth="1"/>
    <col min="12" max="12" width="12.6640625" style="81" customWidth="1"/>
    <col min="13" max="14" width="12.44140625" style="81" customWidth="1"/>
    <col min="15" max="15" width="16" style="81" customWidth="1"/>
    <col min="16" max="16" width="12.44140625" style="81" customWidth="1"/>
    <col min="17" max="17" width="12.6640625" style="81" customWidth="1"/>
    <col min="18" max="19" width="12.33203125" style="81" customWidth="1"/>
    <col min="20" max="20" width="15.6640625" style="81" customWidth="1"/>
    <col min="21" max="21" width="12.33203125" style="81" customWidth="1"/>
    <col min="22" max="22" width="19.6640625" style="81" customWidth="1"/>
    <col min="23" max="23" width="17.6640625" style="81" customWidth="1"/>
    <col min="24" max="24" width="16" style="81" customWidth="1"/>
    <col min="25" max="25" width="18.109375" style="81" customWidth="1"/>
    <col min="26" max="26" width="10.33203125" style="81" customWidth="1"/>
    <col min="27" max="27" width="7.109375" style="81" customWidth="1"/>
    <col min="28" max="16384" width="9" style="81"/>
  </cols>
  <sheetData>
    <row r="1" spans="2:28" s="82" customFormat="1" x14ac:dyDescent="0.2">
      <c r="B1" s="111"/>
    </row>
    <row r="2" spans="2:28" ht="12.75" thickBot="1" x14ac:dyDescent="0.25"/>
    <row r="3" spans="2:28" s="82" customFormat="1" ht="15" customHeight="1" thickBot="1" x14ac:dyDescent="0.25">
      <c r="B3" s="158" t="s">
        <v>92</v>
      </c>
      <c r="C3" s="164"/>
      <c r="D3" s="164"/>
      <c r="E3" s="164"/>
      <c r="F3" s="164"/>
      <c r="G3" s="165"/>
      <c r="I3" s="158" t="s">
        <v>93</v>
      </c>
      <c r="J3" s="164"/>
      <c r="K3" s="164"/>
      <c r="L3" s="164"/>
      <c r="M3" s="164"/>
      <c r="N3" s="165"/>
      <c r="P3" s="158" t="s">
        <v>94</v>
      </c>
      <c r="Q3" s="164"/>
      <c r="R3" s="164"/>
      <c r="S3" s="164"/>
      <c r="T3" s="164"/>
      <c r="U3" s="165"/>
      <c r="W3" s="158" t="s">
        <v>95</v>
      </c>
      <c r="X3" s="164"/>
      <c r="Y3" s="164"/>
      <c r="Z3" s="164"/>
      <c r="AA3" s="164"/>
      <c r="AB3" s="165"/>
    </row>
    <row r="4" spans="2:28" s="82" customFormat="1" x14ac:dyDescent="0.2">
      <c r="B4" s="61"/>
      <c r="C4" s="71"/>
      <c r="D4" s="71"/>
      <c r="E4" s="71"/>
      <c r="F4" s="71"/>
      <c r="G4" s="72"/>
      <c r="H4" s="113"/>
      <c r="I4" s="61"/>
      <c r="J4" s="71"/>
      <c r="K4" s="71"/>
      <c r="L4" s="71"/>
      <c r="M4" s="71"/>
      <c r="N4" s="72"/>
      <c r="P4" s="61"/>
      <c r="Q4" s="71"/>
      <c r="R4" s="71"/>
      <c r="S4" s="71"/>
      <c r="T4" s="71"/>
      <c r="U4" s="72"/>
      <c r="W4" s="61"/>
      <c r="X4" s="71"/>
      <c r="Y4" s="71"/>
      <c r="Z4" s="71"/>
      <c r="AA4" s="71"/>
      <c r="AB4" s="72"/>
    </row>
    <row r="5" spans="2:28" s="82" customFormat="1" x14ac:dyDescent="0.2">
      <c r="B5" s="65"/>
      <c r="C5" s="83"/>
      <c r="D5" s="83"/>
      <c r="E5" s="83"/>
      <c r="F5" s="83"/>
      <c r="G5" s="84"/>
      <c r="H5" s="103"/>
      <c r="I5" s="65"/>
      <c r="J5" s="83"/>
      <c r="K5" s="83"/>
      <c r="L5" s="83"/>
      <c r="M5" s="83"/>
      <c r="N5" s="84"/>
      <c r="P5" s="65"/>
      <c r="Q5" s="83"/>
      <c r="R5" s="83"/>
      <c r="S5" s="83"/>
      <c r="T5" s="83"/>
      <c r="U5" s="84"/>
      <c r="W5" s="65"/>
      <c r="X5" s="83"/>
      <c r="Y5" s="83"/>
      <c r="Z5" s="83"/>
      <c r="AA5" s="83"/>
      <c r="AB5" s="84"/>
    </row>
    <row r="6" spans="2:28" s="82" customFormat="1" x14ac:dyDescent="0.2">
      <c r="B6" s="65"/>
      <c r="C6" s="83"/>
      <c r="D6" s="83"/>
      <c r="E6" s="83"/>
      <c r="F6" s="83"/>
      <c r="G6" s="84"/>
      <c r="H6" s="103"/>
      <c r="I6" s="65"/>
      <c r="J6" s="83"/>
      <c r="K6" s="83"/>
      <c r="L6" s="83"/>
      <c r="M6" s="83"/>
      <c r="N6" s="84"/>
      <c r="P6" s="65"/>
      <c r="Q6" s="83"/>
      <c r="R6" s="83"/>
      <c r="S6" s="83"/>
      <c r="T6" s="83"/>
      <c r="U6" s="84"/>
      <c r="W6" s="65"/>
      <c r="X6" s="83"/>
      <c r="Y6" s="83"/>
      <c r="Z6" s="83"/>
      <c r="AA6" s="83"/>
      <c r="AB6" s="84"/>
    </row>
    <row r="7" spans="2:28" s="82" customFormat="1" x14ac:dyDescent="0.2">
      <c r="B7" s="65"/>
      <c r="C7" s="83"/>
      <c r="D7" s="83"/>
      <c r="E7" s="83"/>
      <c r="F7" s="83"/>
      <c r="G7" s="84"/>
      <c r="H7" s="103"/>
      <c r="I7" s="65"/>
      <c r="J7" s="83"/>
      <c r="K7" s="83"/>
      <c r="L7" s="83"/>
      <c r="M7" s="83"/>
      <c r="N7" s="84"/>
      <c r="P7" s="65"/>
      <c r="Q7" s="83"/>
      <c r="R7" s="83"/>
      <c r="S7" s="83"/>
      <c r="T7" s="83"/>
      <c r="U7" s="84"/>
      <c r="W7" s="65"/>
      <c r="X7" s="83"/>
      <c r="Y7" s="83"/>
      <c r="Z7" s="83"/>
      <c r="AA7" s="83"/>
      <c r="AB7" s="84"/>
    </row>
    <row r="8" spans="2:28" s="82" customFormat="1" x14ac:dyDescent="0.2">
      <c r="B8" s="65"/>
      <c r="C8" s="83"/>
      <c r="D8" s="83"/>
      <c r="E8" s="83"/>
      <c r="F8" s="83"/>
      <c r="G8" s="84"/>
      <c r="H8" s="103"/>
      <c r="I8" s="65"/>
      <c r="J8" s="83"/>
      <c r="K8" s="83"/>
      <c r="L8" s="83"/>
      <c r="M8" s="83"/>
      <c r="N8" s="84"/>
      <c r="P8" s="65"/>
      <c r="Q8" s="83"/>
      <c r="R8" s="83"/>
      <c r="S8" s="83"/>
      <c r="T8" s="83"/>
      <c r="U8" s="84"/>
      <c r="W8" s="65"/>
      <c r="X8" s="83"/>
      <c r="Y8" s="83"/>
      <c r="Z8" s="83"/>
      <c r="AA8" s="83"/>
      <c r="AB8" s="84"/>
    </row>
    <row r="9" spans="2:28" s="82" customFormat="1" x14ac:dyDescent="0.2">
      <c r="B9" s="65"/>
      <c r="C9" s="83"/>
      <c r="D9" s="83"/>
      <c r="E9" s="83"/>
      <c r="F9" s="83"/>
      <c r="G9" s="84"/>
      <c r="H9" s="103"/>
      <c r="I9" s="65"/>
      <c r="J9" s="83"/>
      <c r="K9" s="83"/>
      <c r="L9" s="83"/>
      <c r="M9" s="83"/>
      <c r="N9" s="84"/>
      <c r="P9" s="65"/>
      <c r="Q9" s="83"/>
      <c r="R9" s="83"/>
      <c r="S9" s="83"/>
      <c r="T9" s="83"/>
      <c r="U9" s="84"/>
      <c r="W9" s="65"/>
      <c r="X9" s="83"/>
      <c r="Y9" s="83"/>
      <c r="Z9" s="83"/>
      <c r="AA9" s="83"/>
      <c r="AB9" s="84"/>
    </row>
    <row r="10" spans="2:28" s="82" customFormat="1" x14ac:dyDescent="0.2">
      <c r="B10" s="65"/>
      <c r="C10" s="83"/>
      <c r="D10" s="83"/>
      <c r="E10" s="83"/>
      <c r="F10" s="83"/>
      <c r="G10" s="84"/>
      <c r="H10" s="103"/>
      <c r="I10" s="65"/>
      <c r="J10" s="83"/>
      <c r="K10" s="83"/>
      <c r="L10" s="83"/>
      <c r="M10" s="83"/>
      <c r="N10" s="84"/>
      <c r="P10" s="65"/>
      <c r="Q10" s="83"/>
      <c r="R10" s="83"/>
      <c r="S10" s="83"/>
      <c r="T10" s="83"/>
      <c r="U10" s="84"/>
      <c r="W10" s="65"/>
      <c r="X10" s="83"/>
      <c r="Y10" s="83"/>
      <c r="Z10" s="83"/>
      <c r="AA10" s="83"/>
      <c r="AB10" s="84"/>
    </row>
    <row r="11" spans="2:28" s="82" customFormat="1" x14ac:dyDescent="0.2">
      <c r="B11" s="65"/>
      <c r="C11" s="83"/>
      <c r="D11" s="83"/>
      <c r="E11" s="83"/>
      <c r="F11" s="83"/>
      <c r="G11" s="84"/>
      <c r="H11" s="103"/>
      <c r="I11" s="65"/>
      <c r="J11" s="83"/>
      <c r="K11" s="83"/>
      <c r="L11" s="83"/>
      <c r="M11" s="83"/>
      <c r="N11" s="84"/>
      <c r="P11" s="65"/>
      <c r="Q11" s="83"/>
      <c r="R11" s="83"/>
      <c r="S11" s="83"/>
      <c r="T11" s="83"/>
      <c r="U11" s="84"/>
      <c r="W11" s="65"/>
      <c r="X11" s="83"/>
      <c r="Y11" s="83"/>
      <c r="Z11" s="83"/>
      <c r="AA11" s="83"/>
      <c r="AB11" s="84"/>
    </row>
    <row r="12" spans="2:28" s="82" customFormat="1" x14ac:dyDescent="0.2">
      <c r="B12" s="65"/>
      <c r="C12" s="83"/>
      <c r="D12" s="83"/>
      <c r="E12" s="83"/>
      <c r="F12" s="83"/>
      <c r="G12" s="84"/>
      <c r="H12" s="103"/>
      <c r="I12" s="65"/>
      <c r="J12" s="83"/>
      <c r="K12" s="83"/>
      <c r="L12" s="83"/>
      <c r="M12" s="83"/>
      <c r="N12" s="84"/>
      <c r="P12" s="65"/>
      <c r="Q12" s="83"/>
      <c r="R12" s="83"/>
      <c r="S12" s="83"/>
      <c r="T12" s="83"/>
      <c r="U12" s="84"/>
      <c r="W12" s="65"/>
      <c r="X12" s="83"/>
      <c r="Y12" s="83"/>
      <c r="Z12" s="83"/>
      <c r="AA12" s="83"/>
      <c r="AB12" s="84"/>
    </row>
    <row r="13" spans="2:28" s="82" customFormat="1" x14ac:dyDescent="0.2">
      <c r="B13" s="65"/>
      <c r="C13" s="83"/>
      <c r="D13" s="83"/>
      <c r="E13" s="83"/>
      <c r="F13" s="83"/>
      <c r="G13" s="84"/>
      <c r="H13" s="103"/>
      <c r="I13" s="65"/>
      <c r="J13" s="83"/>
      <c r="K13" s="83"/>
      <c r="L13" s="83"/>
      <c r="M13" s="83"/>
      <c r="N13" s="84"/>
      <c r="P13" s="65"/>
      <c r="Q13" s="83"/>
      <c r="R13" s="83"/>
      <c r="S13" s="83"/>
      <c r="T13" s="83"/>
      <c r="U13" s="84"/>
      <c r="W13" s="65"/>
      <c r="X13" s="83"/>
      <c r="Y13" s="83"/>
      <c r="Z13" s="83"/>
      <c r="AA13" s="83"/>
      <c r="AB13" s="84"/>
    </row>
    <row r="14" spans="2:28" s="82" customFormat="1" x14ac:dyDescent="0.2">
      <c r="B14" s="65"/>
      <c r="C14" s="83"/>
      <c r="D14" s="83"/>
      <c r="E14" s="83"/>
      <c r="F14" s="83"/>
      <c r="G14" s="84"/>
      <c r="H14" s="103"/>
      <c r="I14" s="65"/>
      <c r="J14" s="83"/>
      <c r="K14" s="83"/>
      <c r="L14" s="83"/>
      <c r="M14" s="83"/>
      <c r="N14" s="84"/>
      <c r="P14" s="65"/>
      <c r="Q14" s="83"/>
      <c r="R14" s="83"/>
      <c r="S14" s="83"/>
      <c r="T14" s="83"/>
      <c r="U14" s="84"/>
      <c r="W14" s="65"/>
      <c r="X14" s="83"/>
      <c r="Y14" s="83"/>
      <c r="Z14" s="83"/>
      <c r="AA14" s="83"/>
      <c r="AB14" s="84"/>
    </row>
    <row r="15" spans="2:28" s="82" customFormat="1" x14ac:dyDescent="0.2">
      <c r="B15" s="65"/>
      <c r="C15" s="83"/>
      <c r="D15" s="83"/>
      <c r="E15" s="83"/>
      <c r="F15" s="83"/>
      <c r="G15" s="84"/>
      <c r="H15" s="103"/>
      <c r="I15" s="65"/>
      <c r="J15" s="83"/>
      <c r="K15" s="83"/>
      <c r="L15" s="83"/>
      <c r="M15" s="83"/>
      <c r="N15" s="84"/>
      <c r="P15" s="65"/>
      <c r="Q15" s="83"/>
      <c r="R15" s="83"/>
      <c r="S15" s="83"/>
      <c r="T15" s="83"/>
      <c r="U15" s="84"/>
      <c r="W15" s="65"/>
      <c r="X15" s="83"/>
      <c r="Y15" s="83"/>
      <c r="Z15" s="83"/>
      <c r="AA15" s="83"/>
      <c r="AB15" s="84"/>
    </row>
    <row r="16" spans="2:28" s="82" customFormat="1" x14ac:dyDescent="0.2">
      <c r="B16" s="65"/>
      <c r="C16" s="83"/>
      <c r="D16" s="83"/>
      <c r="E16" s="83"/>
      <c r="F16" s="83"/>
      <c r="G16" s="84"/>
      <c r="H16" s="103"/>
      <c r="I16" s="65"/>
      <c r="J16" s="83"/>
      <c r="K16" s="83"/>
      <c r="L16" s="83"/>
      <c r="M16" s="83"/>
      <c r="N16" s="84"/>
      <c r="P16" s="65"/>
      <c r="Q16" s="83"/>
      <c r="R16" s="83"/>
      <c r="S16" s="83"/>
      <c r="T16" s="83"/>
      <c r="U16" s="84"/>
      <c r="W16" s="65"/>
      <c r="X16" s="83"/>
      <c r="Y16" s="83"/>
      <c r="Z16" s="83"/>
      <c r="AA16" s="83"/>
      <c r="AB16" s="84"/>
    </row>
    <row r="17" spans="2:28" s="82" customFormat="1" x14ac:dyDescent="0.2">
      <c r="B17" s="65"/>
      <c r="C17" s="83"/>
      <c r="D17" s="83"/>
      <c r="E17" s="83"/>
      <c r="F17" s="83"/>
      <c r="G17" s="84"/>
      <c r="H17" s="103"/>
      <c r="I17" s="65"/>
      <c r="J17" s="83"/>
      <c r="K17" s="83"/>
      <c r="L17" s="83"/>
      <c r="M17" s="83"/>
      <c r="N17" s="84"/>
      <c r="P17" s="65"/>
      <c r="Q17" s="83"/>
      <c r="R17" s="83"/>
      <c r="S17" s="83"/>
      <c r="T17" s="83"/>
      <c r="U17" s="84"/>
      <c r="W17" s="65"/>
      <c r="X17" s="83"/>
      <c r="Y17" s="83"/>
      <c r="Z17" s="83"/>
      <c r="AA17" s="83"/>
      <c r="AB17" s="84"/>
    </row>
    <row r="18" spans="2:28" s="82" customFormat="1" x14ac:dyDescent="0.2">
      <c r="B18" s="65"/>
      <c r="C18" s="83"/>
      <c r="D18" s="83"/>
      <c r="E18" s="83"/>
      <c r="F18" s="83"/>
      <c r="G18" s="84"/>
      <c r="H18" s="103"/>
      <c r="I18" s="65"/>
      <c r="J18" s="83"/>
      <c r="K18" s="83"/>
      <c r="L18" s="83"/>
      <c r="M18" s="83"/>
      <c r="N18" s="84"/>
      <c r="P18" s="65"/>
      <c r="Q18" s="83"/>
      <c r="R18" s="83"/>
      <c r="S18" s="83"/>
      <c r="T18" s="83"/>
      <c r="U18" s="84"/>
      <c r="W18" s="65"/>
      <c r="X18" s="83"/>
      <c r="Y18" s="83"/>
      <c r="Z18" s="83"/>
      <c r="AA18" s="83"/>
      <c r="AB18" s="84"/>
    </row>
    <row r="19" spans="2:28" s="82" customFormat="1" x14ac:dyDescent="0.2">
      <c r="B19" s="65"/>
      <c r="C19" s="83"/>
      <c r="D19" s="83"/>
      <c r="E19" s="83"/>
      <c r="F19" s="83"/>
      <c r="G19" s="84"/>
      <c r="H19" s="103"/>
      <c r="I19" s="65"/>
      <c r="J19" s="83"/>
      <c r="K19" s="83"/>
      <c r="L19" s="83"/>
      <c r="M19" s="83"/>
      <c r="N19" s="84"/>
      <c r="P19" s="65"/>
      <c r="Q19" s="83"/>
      <c r="R19" s="83"/>
      <c r="S19" s="83"/>
      <c r="T19" s="83"/>
      <c r="U19" s="84"/>
      <c r="W19" s="65"/>
      <c r="X19" s="83"/>
      <c r="Y19" s="83"/>
      <c r="Z19" s="83"/>
      <c r="AA19" s="83"/>
      <c r="AB19" s="84"/>
    </row>
    <row r="20" spans="2:28" s="82" customFormat="1" x14ac:dyDescent="0.2">
      <c r="B20" s="65"/>
      <c r="C20" s="83"/>
      <c r="D20" s="83"/>
      <c r="E20" s="83"/>
      <c r="F20" s="83"/>
      <c r="G20" s="84"/>
      <c r="H20" s="103"/>
      <c r="I20" s="65"/>
      <c r="J20" s="83"/>
      <c r="K20" s="83"/>
      <c r="L20" s="83"/>
      <c r="M20" s="83"/>
      <c r="N20" s="84"/>
      <c r="P20" s="65"/>
      <c r="Q20" s="83"/>
      <c r="R20" s="83"/>
      <c r="S20" s="83"/>
      <c r="T20" s="83"/>
      <c r="U20" s="84"/>
      <c r="W20" s="65"/>
      <c r="X20" s="83"/>
      <c r="Y20" s="83"/>
      <c r="Z20" s="83"/>
      <c r="AA20" s="83"/>
      <c r="AB20" s="84"/>
    </row>
    <row r="21" spans="2:28" s="82" customFormat="1" x14ac:dyDescent="0.2">
      <c r="B21" s="65"/>
      <c r="C21" s="83"/>
      <c r="D21" s="83"/>
      <c r="E21" s="83"/>
      <c r="F21" s="83"/>
      <c r="G21" s="84"/>
      <c r="H21" s="103"/>
      <c r="I21" s="65"/>
      <c r="J21" s="83"/>
      <c r="K21" s="83"/>
      <c r="L21" s="83"/>
      <c r="M21" s="83"/>
      <c r="N21" s="84"/>
      <c r="P21" s="65"/>
      <c r="Q21" s="83"/>
      <c r="R21" s="83"/>
      <c r="S21" s="83"/>
      <c r="T21" s="83"/>
      <c r="U21" s="84"/>
      <c r="W21" s="65"/>
      <c r="X21" s="83"/>
      <c r="Y21" s="83"/>
      <c r="Z21" s="83"/>
      <c r="AA21" s="83"/>
      <c r="AB21" s="84"/>
    </row>
    <row r="22" spans="2:28" s="82" customFormat="1" x14ac:dyDescent="0.2">
      <c r="B22" s="65"/>
      <c r="C22" s="83"/>
      <c r="D22" s="83"/>
      <c r="E22" s="83"/>
      <c r="F22" s="83"/>
      <c r="G22" s="84"/>
      <c r="H22" s="103"/>
      <c r="I22" s="65"/>
      <c r="J22" s="83"/>
      <c r="K22" s="83"/>
      <c r="L22" s="83"/>
      <c r="M22" s="83"/>
      <c r="N22" s="84"/>
      <c r="P22" s="65"/>
      <c r="Q22" s="83"/>
      <c r="R22" s="83"/>
      <c r="S22" s="83"/>
      <c r="T22" s="83"/>
      <c r="U22" s="84"/>
      <c r="W22" s="65"/>
      <c r="X22" s="83"/>
      <c r="Y22" s="83"/>
      <c r="Z22" s="83"/>
      <c r="AA22" s="83"/>
      <c r="AB22" s="84"/>
    </row>
    <row r="23" spans="2:28" s="82" customFormat="1" x14ac:dyDescent="0.2">
      <c r="B23" s="65"/>
      <c r="C23" s="83"/>
      <c r="D23" s="83"/>
      <c r="E23" s="83"/>
      <c r="F23" s="83"/>
      <c r="G23" s="84"/>
      <c r="H23" s="103"/>
      <c r="I23" s="65"/>
      <c r="J23" s="83"/>
      <c r="K23" s="83"/>
      <c r="L23" s="83"/>
      <c r="M23" s="83"/>
      <c r="N23" s="84"/>
      <c r="P23" s="65"/>
      <c r="Q23" s="83"/>
      <c r="R23" s="83"/>
      <c r="S23" s="83"/>
      <c r="T23" s="83"/>
      <c r="U23" s="84"/>
      <c r="W23" s="65"/>
      <c r="X23" s="83"/>
      <c r="Y23" s="83"/>
      <c r="Z23" s="83"/>
      <c r="AA23" s="83"/>
      <c r="AB23" s="84"/>
    </row>
    <row r="24" spans="2:28" s="82" customFormat="1" ht="12.75" thickBot="1" x14ac:dyDescent="0.25">
      <c r="B24" s="114"/>
      <c r="C24" s="74"/>
      <c r="D24" s="74"/>
      <c r="E24" s="74"/>
      <c r="F24" s="74"/>
      <c r="G24" s="75"/>
      <c r="H24" s="103"/>
      <c r="I24" s="114"/>
      <c r="J24" s="74"/>
      <c r="K24" s="74"/>
      <c r="L24" s="74"/>
      <c r="M24" s="74"/>
      <c r="N24" s="75"/>
      <c r="P24" s="114"/>
      <c r="Q24" s="74"/>
      <c r="R24" s="74"/>
      <c r="S24" s="74"/>
      <c r="T24" s="74"/>
      <c r="U24" s="75"/>
      <c r="W24" s="114"/>
      <c r="X24" s="74"/>
      <c r="Y24" s="74"/>
      <c r="Z24" s="74"/>
      <c r="AA24" s="74"/>
      <c r="AB24" s="75"/>
    </row>
    <row r="27" spans="2:28" x14ac:dyDescent="0.2">
      <c r="B27" s="81"/>
      <c r="E27" s="112"/>
    </row>
    <row r="28" spans="2:28" x14ac:dyDescent="0.2">
      <c r="B28" s="81"/>
      <c r="E28" s="112"/>
    </row>
    <row r="29" spans="2:28" ht="12.75" thickBot="1" x14ac:dyDescent="0.25"/>
    <row r="30" spans="2:28" ht="12.75" thickBot="1" x14ac:dyDescent="0.25">
      <c r="B30" s="115"/>
      <c r="C30" s="194" t="s">
        <v>88</v>
      </c>
      <c r="D30" s="194"/>
      <c r="E30" s="194"/>
      <c r="F30" s="194"/>
      <c r="G30" s="195"/>
      <c r="H30" s="193" t="s">
        <v>89</v>
      </c>
      <c r="I30" s="194"/>
      <c r="J30" s="194"/>
      <c r="K30" s="194"/>
      <c r="L30" s="195"/>
      <c r="M30" s="193" t="s">
        <v>90</v>
      </c>
      <c r="N30" s="194"/>
      <c r="O30" s="194"/>
      <c r="P30" s="194"/>
      <c r="Q30" s="195"/>
      <c r="R30" s="193" t="s">
        <v>91</v>
      </c>
      <c r="S30" s="194"/>
      <c r="T30" s="194"/>
      <c r="U30" s="194"/>
      <c r="V30" s="195"/>
    </row>
    <row r="31" spans="2:28" ht="12.75" thickBot="1" x14ac:dyDescent="0.25">
      <c r="B31" s="116"/>
      <c r="C31" s="117" t="s">
        <v>68</v>
      </c>
      <c r="D31" s="117" t="s">
        <v>69</v>
      </c>
      <c r="E31" s="117" t="s">
        <v>70</v>
      </c>
      <c r="F31" s="117" t="s">
        <v>71</v>
      </c>
      <c r="G31" s="118" t="s">
        <v>72</v>
      </c>
      <c r="H31" s="117" t="s">
        <v>73</v>
      </c>
      <c r="I31" s="117" t="s">
        <v>74</v>
      </c>
      <c r="J31" s="117" t="s">
        <v>75</v>
      </c>
      <c r="K31" s="117" t="s">
        <v>76</v>
      </c>
      <c r="L31" s="118" t="s">
        <v>77</v>
      </c>
      <c r="M31" s="117" t="s">
        <v>78</v>
      </c>
      <c r="N31" s="117" t="s">
        <v>79</v>
      </c>
      <c r="O31" s="117" t="s">
        <v>80</v>
      </c>
      <c r="P31" s="117" t="s">
        <v>81</v>
      </c>
      <c r="Q31" s="118" t="s">
        <v>82</v>
      </c>
      <c r="R31" s="117" t="s">
        <v>83</v>
      </c>
      <c r="S31" s="117" t="s">
        <v>84</v>
      </c>
      <c r="T31" s="117" t="s">
        <v>85</v>
      </c>
      <c r="U31" s="117" t="s">
        <v>86</v>
      </c>
      <c r="V31" s="117" t="s">
        <v>87</v>
      </c>
    </row>
    <row r="32" spans="2:28" x14ac:dyDescent="0.2">
      <c r="B32" s="142">
        <v>2006</v>
      </c>
      <c r="C32" s="148">
        <v>2.514885</v>
      </c>
      <c r="D32" s="148">
        <v>3.4146339999999999</v>
      </c>
      <c r="E32" s="148">
        <v>4.2348400000000002</v>
      </c>
      <c r="F32" s="148">
        <v>5.0001100000000003</v>
      </c>
      <c r="G32" s="148">
        <v>5.7868110000000001</v>
      </c>
      <c r="H32" s="119">
        <v>50</v>
      </c>
      <c r="I32" s="119">
        <v>73</v>
      </c>
      <c r="J32" s="119">
        <v>92</v>
      </c>
      <c r="K32" s="119">
        <v>100</v>
      </c>
      <c r="L32" s="119">
        <v>100</v>
      </c>
      <c r="M32" s="148">
        <v>1.31931</v>
      </c>
      <c r="N32" s="148">
        <v>2.2623060000000002</v>
      </c>
      <c r="O32" s="148">
        <v>3.3741439999999998</v>
      </c>
      <c r="P32" s="148">
        <v>4.4715350000000003</v>
      </c>
      <c r="Q32" s="148">
        <v>5.4646169999999996</v>
      </c>
      <c r="R32" s="119">
        <v>24</v>
      </c>
      <c r="S32" s="119">
        <v>41</v>
      </c>
      <c r="T32" s="119">
        <v>64</v>
      </c>
      <c r="U32" s="119">
        <v>83</v>
      </c>
      <c r="V32" s="120">
        <v>92</v>
      </c>
    </row>
    <row r="33" spans="2:22" x14ac:dyDescent="0.2">
      <c r="B33" s="143">
        <v>2007</v>
      </c>
      <c r="C33" s="121">
        <v>2.5882160000000001</v>
      </c>
      <c r="D33" s="121">
        <v>3.5224310000000001</v>
      </c>
      <c r="E33" s="121">
        <v>4.3441039999999997</v>
      </c>
      <c r="F33" s="121">
        <v>5.0999999999999996</v>
      </c>
      <c r="G33" s="121">
        <v>5.8697629999999998</v>
      </c>
      <c r="H33" s="122">
        <v>47</v>
      </c>
      <c r="I33" s="122">
        <v>66</v>
      </c>
      <c r="J33" s="122">
        <v>90</v>
      </c>
      <c r="K33" s="122">
        <v>97</v>
      </c>
      <c r="L33" s="122">
        <v>100</v>
      </c>
      <c r="M33" s="121">
        <v>1.3333330000000001</v>
      </c>
      <c r="N33" s="121">
        <v>2.303245</v>
      </c>
      <c r="O33" s="121">
        <v>3.454523</v>
      </c>
      <c r="P33" s="121">
        <v>4.538462</v>
      </c>
      <c r="Q33" s="121">
        <v>5.5307820000000003</v>
      </c>
      <c r="R33" s="122">
        <v>26</v>
      </c>
      <c r="S33" s="122">
        <v>44</v>
      </c>
      <c r="T33" s="122">
        <v>66</v>
      </c>
      <c r="U33" s="122">
        <v>83</v>
      </c>
      <c r="V33" s="123">
        <v>92</v>
      </c>
    </row>
    <row r="34" spans="2:22" x14ac:dyDescent="0.2">
      <c r="B34" s="143">
        <v>2008</v>
      </c>
      <c r="C34" s="121">
        <v>2.6438009999999998</v>
      </c>
      <c r="D34" s="121">
        <v>3.5714290000000002</v>
      </c>
      <c r="E34" s="121">
        <v>4.45214</v>
      </c>
      <c r="F34" s="121">
        <v>5.2380950000000004</v>
      </c>
      <c r="G34" s="121">
        <v>5.9688939999999997</v>
      </c>
      <c r="H34" s="122">
        <v>46</v>
      </c>
      <c r="I34" s="122">
        <v>64</v>
      </c>
      <c r="J34" s="122">
        <v>86</v>
      </c>
      <c r="K34" s="122">
        <v>92</v>
      </c>
      <c r="L34" s="122">
        <v>100</v>
      </c>
      <c r="M34" s="121">
        <v>1.1702779999999999</v>
      </c>
      <c r="N34" s="121">
        <v>2.1548560000000001</v>
      </c>
      <c r="O34" s="121">
        <v>3.2959339999999999</v>
      </c>
      <c r="P34" s="121">
        <v>4.376728</v>
      </c>
      <c r="Q34" s="121">
        <v>5.3293569999999999</v>
      </c>
      <c r="R34" s="122">
        <v>23</v>
      </c>
      <c r="S34" s="122">
        <v>41</v>
      </c>
      <c r="T34" s="122">
        <v>63</v>
      </c>
      <c r="U34" s="122">
        <v>81</v>
      </c>
      <c r="V34" s="123">
        <v>92</v>
      </c>
    </row>
    <row r="35" spans="2:22" x14ac:dyDescent="0.2">
      <c r="B35" s="143">
        <v>2009</v>
      </c>
      <c r="C35" s="121">
        <v>2.320624</v>
      </c>
      <c r="D35" s="121">
        <v>3.222664</v>
      </c>
      <c r="E35" s="121">
        <v>4.1007540000000002</v>
      </c>
      <c r="F35" s="121">
        <v>4.9249999999999998</v>
      </c>
      <c r="G35" s="121">
        <v>5.5863769999999997</v>
      </c>
      <c r="H35" s="122">
        <v>49</v>
      </c>
      <c r="I35" s="122">
        <v>66</v>
      </c>
      <c r="J35" s="122">
        <v>83</v>
      </c>
      <c r="K35" s="122">
        <v>92</v>
      </c>
      <c r="L35" s="122">
        <v>92</v>
      </c>
      <c r="M35" s="121">
        <v>0.98239500000000002</v>
      </c>
      <c r="N35" s="121">
        <v>1.8265690000000001</v>
      </c>
      <c r="O35" s="121">
        <v>2.9354840000000002</v>
      </c>
      <c r="P35" s="121">
        <v>4.035088</v>
      </c>
      <c r="Q35" s="121">
        <v>5.0190739999999998</v>
      </c>
      <c r="R35" s="122">
        <v>20</v>
      </c>
      <c r="S35" s="122">
        <v>37</v>
      </c>
      <c r="T35" s="122">
        <v>60</v>
      </c>
      <c r="U35" s="122">
        <v>81</v>
      </c>
      <c r="V35" s="123">
        <v>92</v>
      </c>
    </row>
    <row r="36" spans="2:22" x14ac:dyDescent="0.2">
      <c r="B36" s="143">
        <v>2010</v>
      </c>
      <c r="C36" s="121">
        <v>2.2484459999999999</v>
      </c>
      <c r="D36" s="121">
        <v>3.0084240000000002</v>
      </c>
      <c r="E36" s="121">
        <v>3.8680509999999999</v>
      </c>
      <c r="F36" s="121">
        <v>4.6416490000000001</v>
      </c>
      <c r="G36" s="121">
        <v>5.2139819999999997</v>
      </c>
      <c r="H36" s="122">
        <v>52</v>
      </c>
      <c r="I36" s="122">
        <v>71</v>
      </c>
      <c r="J36" s="122">
        <v>86</v>
      </c>
      <c r="K36" s="122">
        <v>92</v>
      </c>
      <c r="L36" s="122">
        <v>92</v>
      </c>
      <c r="M36" s="121">
        <v>1.016767</v>
      </c>
      <c r="N36" s="121">
        <v>1.83714</v>
      </c>
      <c r="O36" s="121">
        <v>2.803776</v>
      </c>
      <c r="P36" s="121">
        <v>3.8133840000000001</v>
      </c>
      <c r="Q36" s="121">
        <v>4.7269709999999998</v>
      </c>
      <c r="R36" s="122">
        <v>23</v>
      </c>
      <c r="S36" s="122">
        <v>41</v>
      </c>
      <c r="T36" s="122">
        <v>66</v>
      </c>
      <c r="U36" s="122">
        <v>85</v>
      </c>
      <c r="V36" s="123">
        <v>92</v>
      </c>
    </row>
    <row r="37" spans="2:22" x14ac:dyDescent="0.2">
      <c r="B37" s="143">
        <v>2011</v>
      </c>
      <c r="C37" s="121">
        <v>1.965603</v>
      </c>
      <c r="D37" s="121">
        <v>2.6212599999999999</v>
      </c>
      <c r="E37" s="121">
        <v>3.399006</v>
      </c>
      <c r="F37" s="121">
        <v>4.1666670000000003</v>
      </c>
      <c r="G37" s="121">
        <v>4.7245720000000002</v>
      </c>
      <c r="H37" s="122">
        <v>44</v>
      </c>
      <c r="I37" s="122">
        <v>68</v>
      </c>
      <c r="J37" s="122">
        <v>86</v>
      </c>
      <c r="K37" s="122">
        <v>90</v>
      </c>
      <c r="L37" s="122">
        <v>92</v>
      </c>
      <c r="M37" s="121">
        <v>0.85119800000000001</v>
      </c>
      <c r="N37" s="121">
        <v>1.4365479999999999</v>
      </c>
      <c r="O37" s="121">
        <v>2.1861090000000001</v>
      </c>
      <c r="P37" s="121">
        <v>2.9218709999999999</v>
      </c>
      <c r="Q37" s="121">
        <v>3.6750780000000001</v>
      </c>
      <c r="R37" s="122">
        <v>20</v>
      </c>
      <c r="S37" s="122">
        <v>39</v>
      </c>
      <c r="T37" s="122">
        <v>64</v>
      </c>
      <c r="U37" s="122">
        <v>85</v>
      </c>
      <c r="V37" s="123">
        <v>92</v>
      </c>
    </row>
    <row r="38" spans="2:22" x14ac:dyDescent="0.2">
      <c r="B38" s="143">
        <v>2012</v>
      </c>
      <c r="C38" s="121">
        <v>1.616549</v>
      </c>
      <c r="D38" s="121">
        <v>2.276688</v>
      </c>
      <c r="E38" s="121">
        <v>3.0032610000000002</v>
      </c>
      <c r="F38" s="121">
        <v>3.7545039999999998</v>
      </c>
      <c r="G38" s="121">
        <v>4.4148170000000002</v>
      </c>
      <c r="H38" s="122">
        <v>41</v>
      </c>
      <c r="I38" s="122">
        <v>67</v>
      </c>
      <c r="J38" s="122">
        <v>85</v>
      </c>
      <c r="K38" s="122">
        <v>90</v>
      </c>
      <c r="L38" s="122">
        <v>92</v>
      </c>
      <c r="M38" s="121">
        <v>0.83475100000000002</v>
      </c>
      <c r="N38" s="121">
        <v>1.3839980000000001</v>
      </c>
      <c r="O38" s="121">
        <v>2.0155259999999999</v>
      </c>
      <c r="P38" s="121">
        <v>2.6920839999999999</v>
      </c>
      <c r="Q38" s="121">
        <v>3.4279730000000002</v>
      </c>
      <c r="R38" s="122">
        <v>21</v>
      </c>
      <c r="S38" s="122">
        <v>43</v>
      </c>
      <c r="T38" s="122">
        <v>70</v>
      </c>
      <c r="U38" s="122">
        <v>87</v>
      </c>
      <c r="V38" s="123">
        <v>92</v>
      </c>
    </row>
    <row r="39" spans="2:22" x14ac:dyDescent="0.2">
      <c r="B39" s="143">
        <v>2013</v>
      </c>
      <c r="C39" s="121">
        <v>1.4567129999999999</v>
      </c>
      <c r="D39" s="121">
        <v>2.0564849999999999</v>
      </c>
      <c r="E39" s="121">
        <v>2.7253180000000001</v>
      </c>
      <c r="F39" s="121">
        <v>3.4158300000000001</v>
      </c>
      <c r="G39" s="121">
        <v>3.9565350000000001</v>
      </c>
      <c r="H39" s="122">
        <v>44</v>
      </c>
      <c r="I39" s="122">
        <v>67</v>
      </c>
      <c r="J39" s="122">
        <v>84</v>
      </c>
      <c r="K39" s="122">
        <v>90</v>
      </c>
      <c r="L39" s="122">
        <v>92</v>
      </c>
      <c r="M39" s="121">
        <v>0.92600400000000005</v>
      </c>
      <c r="N39" s="121">
        <v>1.446032</v>
      </c>
      <c r="O39" s="121">
        <v>2.0828220000000002</v>
      </c>
      <c r="P39" s="121">
        <v>2.745768</v>
      </c>
      <c r="Q39" s="121">
        <v>3.4082840000000001</v>
      </c>
      <c r="R39" s="122">
        <v>26</v>
      </c>
      <c r="S39" s="122">
        <v>48</v>
      </c>
      <c r="T39" s="122">
        <v>73</v>
      </c>
      <c r="U39" s="122">
        <v>88</v>
      </c>
      <c r="V39" s="123">
        <v>91</v>
      </c>
    </row>
    <row r="40" spans="2:22" x14ac:dyDescent="0.2">
      <c r="B40" s="143">
        <v>2014</v>
      </c>
      <c r="C40" s="121">
        <v>1.541317</v>
      </c>
      <c r="D40" s="121">
        <v>2.083453</v>
      </c>
      <c r="E40" s="121">
        <v>2.725285</v>
      </c>
      <c r="F40" s="121">
        <v>3.3857140000000001</v>
      </c>
      <c r="G40" s="121">
        <v>3.8902800000000002</v>
      </c>
      <c r="H40" s="122">
        <v>49</v>
      </c>
      <c r="I40" s="122">
        <v>70</v>
      </c>
      <c r="J40" s="122">
        <v>85</v>
      </c>
      <c r="K40" s="122">
        <v>90</v>
      </c>
      <c r="L40" s="122">
        <v>92</v>
      </c>
      <c r="M40" s="121">
        <v>0.93242800000000003</v>
      </c>
      <c r="N40" s="121">
        <v>1.495652</v>
      </c>
      <c r="O40" s="121">
        <v>2.148917</v>
      </c>
      <c r="P40" s="121">
        <v>2.8229410000000001</v>
      </c>
      <c r="Q40" s="121">
        <v>3.461401</v>
      </c>
      <c r="R40" s="122">
        <v>27</v>
      </c>
      <c r="S40" s="122">
        <v>48</v>
      </c>
      <c r="T40" s="122">
        <v>71</v>
      </c>
      <c r="U40" s="122">
        <v>87</v>
      </c>
      <c r="V40" s="123">
        <v>90</v>
      </c>
    </row>
    <row r="41" spans="2:22" x14ac:dyDescent="0.2">
      <c r="B41" s="143">
        <v>2015</v>
      </c>
      <c r="C41" s="121">
        <v>1.7300000190734863</v>
      </c>
      <c r="D41" s="121">
        <v>2.309999942779541</v>
      </c>
      <c r="E41" s="121">
        <v>2.9100000858306885</v>
      </c>
      <c r="F41" s="121">
        <v>3.4500000476837158</v>
      </c>
      <c r="G41" s="121">
        <v>3.8499999046325684</v>
      </c>
      <c r="H41" s="122">
        <v>56.139999389648438</v>
      </c>
      <c r="I41" s="122">
        <v>72.860000610351563</v>
      </c>
      <c r="J41" s="122">
        <v>85</v>
      </c>
      <c r="K41" s="122">
        <v>90</v>
      </c>
      <c r="L41" s="122">
        <v>90</v>
      </c>
      <c r="M41" s="121">
        <v>1.059999942779541</v>
      </c>
      <c r="N41" s="121">
        <v>1.6200000047683716</v>
      </c>
      <c r="O41" s="121">
        <v>2.2599999904632568</v>
      </c>
      <c r="P41" s="121">
        <v>2.9000000953674316</v>
      </c>
      <c r="Q41" s="121">
        <v>3.4200000762939453</v>
      </c>
      <c r="R41" s="122">
        <v>30</v>
      </c>
      <c r="S41" s="122">
        <v>47.619998931884766</v>
      </c>
      <c r="T41" s="122">
        <v>67.279998779296875</v>
      </c>
      <c r="U41" s="122">
        <v>79.849998474121094</v>
      </c>
      <c r="V41" s="123">
        <v>84.510002136230469</v>
      </c>
    </row>
    <row r="42" spans="2:22" x14ac:dyDescent="0.2">
      <c r="B42" s="143">
        <v>2016</v>
      </c>
      <c r="C42" s="121">
        <v>1.8700000047683716</v>
      </c>
      <c r="D42" s="121">
        <v>2.440000057220459</v>
      </c>
      <c r="E42" s="121">
        <v>3.0099999904632568</v>
      </c>
      <c r="F42" s="121">
        <v>3.4300000667572021</v>
      </c>
      <c r="G42" s="121">
        <v>3.690000057220459</v>
      </c>
      <c r="H42" s="122">
        <v>57.139999389648438</v>
      </c>
      <c r="I42" s="122">
        <v>73.790000915527344</v>
      </c>
      <c r="J42" s="122">
        <v>84.919998168945313</v>
      </c>
      <c r="K42" s="122">
        <v>89.779998779296875</v>
      </c>
      <c r="L42" s="122">
        <v>90</v>
      </c>
      <c r="M42" s="121">
        <v>1.1699999570846558</v>
      </c>
      <c r="N42" s="121">
        <v>1.7300000190734863</v>
      </c>
      <c r="O42" s="121">
        <v>2.369999885559082</v>
      </c>
      <c r="P42" s="121">
        <v>2.9800000190734863</v>
      </c>
      <c r="Q42" s="121">
        <v>3.440000057220459</v>
      </c>
      <c r="R42" s="122">
        <v>31.559999465942383</v>
      </c>
      <c r="S42" s="122">
        <v>49.689998626708984</v>
      </c>
      <c r="T42" s="122">
        <v>69.400001525878906</v>
      </c>
      <c r="U42" s="122">
        <v>80</v>
      </c>
      <c r="V42" s="123">
        <v>81.099998474121094</v>
      </c>
    </row>
    <row r="43" spans="2:22" x14ac:dyDescent="0.2">
      <c r="B43" s="143">
        <v>2017</v>
      </c>
      <c r="C43" s="121">
        <v>2.0299999713897705</v>
      </c>
      <c r="D43" s="121">
        <v>2.5799999237060547</v>
      </c>
      <c r="E43" s="121">
        <v>3.1500000953674316</v>
      </c>
      <c r="F43" s="121">
        <v>3.4900000095367432</v>
      </c>
      <c r="G43" s="121">
        <v>3.9100000858306885</v>
      </c>
      <c r="H43" s="122">
        <v>59.490001678466797</v>
      </c>
      <c r="I43" s="122">
        <v>75</v>
      </c>
      <c r="J43" s="122">
        <v>85.830001831054688</v>
      </c>
      <c r="K43" s="122">
        <v>90</v>
      </c>
      <c r="L43" s="122">
        <v>90</v>
      </c>
      <c r="M43" s="121">
        <v>1.2899999618530273</v>
      </c>
      <c r="N43" s="121">
        <v>1.8899999856948853</v>
      </c>
      <c r="O43" s="121">
        <v>2.5299999713897705</v>
      </c>
      <c r="P43" s="121">
        <v>3.119999885559082</v>
      </c>
      <c r="Q43" s="121">
        <v>3.4900000095367432</v>
      </c>
      <c r="R43" s="122">
        <v>33.919998168945313</v>
      </c>
      <c r="S43" s="122">
        <v>50.779998779296875</v>
      </c>
      <c r="T43" s="122">
        <v>70</v>
      </c>
      <c r="U43" s="122">
        <v>80</v>
      </c>
      <c r="V43" s="123">
        <v>85</v>
      </c>
    </row>
    <row r="44" spans="2:22" x14ac:dyDescent="0.2">
      <c r="B44" s="143">
        <v>2018</v>
      </c>
      <c r="C44" s="121">
        <v>2.119999885559082</v>
      </c>
      <c r="D44" s="121">
        <v>2.6800000667572021</v>
      </c>
      <c r="E44" s="121">
        <v>3.2200000286102295</v>
      </c>
      <c r="F44" s="121">
        <v>3.4900000095367432</v>
      </c>
      <c r="G44" s="121">
        <v>3.7699999809265137</v>
      </c>
      <c r="H44" s="122">
        <v>59.430000305175781</v>
      </c>
      <c r="I44" s="122">
        <v>75</v>
      </c>
      <c r="J44" s="122">
        <v>86.199996948242188</v>
      </c>
      <c r="K44" s="122">
        <v>90</v>
      </c>
      <c r="L44" s="122">
        <v>90</v>
      </c>
      <c r="M44" s="121">
        <v>1.309999942779541</v>
      </c>
      <c r="N44" s="121">
        <v>1.9099999666213989</v>
      </c>
      <c r="O44" s="121">
        <v>2.5499999523162842</v>
      </c>
      <c r="P44" s="121">
        <v>3.1500000953674316</v>
      </c>
      <c r="Q44" s="121">
        <v>3.4800000190734863</v>
      </c>
      <c r="R44" s="122">
        <v>34.090000152587891</v>
      </c>
      <c r="S44" s="122">
        <v>50.380001068115234</v>
      </c>
      <c r="T44" s="122">
        <v>69.239997863769531</v>
      </c>
      <c r="U44" s="122">
        <v>80</v>
      </c>
      <c r="V44" s="123">
        <v>82.699996948242188</v>
      </c>
    </row>
    <row r="45" spans="2:22" x14ac:dyDescent="0.2">
      <c r="B45" s="143">
        <v>2019</v>
      </c>
      <c r="C45" s="121">
        <v>2.1700000762939453</v>
      </c>
      <c r="D45" s="121">
        <v>2.7300000190734863</v>
      </c>
      <c r="E45" s="121">
        <v>3.25</v>
      </c>
      <c r="F45" s="121">
        <v>3.4900000095367432</v>
      </c>
      <c r="G45" s="121">
        <v>3.7400000095367432</v>
      </c>
      <c r="H45" s="122">
        <v>62.020000457763672</v>
      </c>
      <c r="I45" s="122">
        <v>76.839996337890625</v>
      </c>
      <c r="J45" s="122">
        <v>87.620002746582031</v>
      </c>
      <c r="K45" s="122">
        <v>90</v>
      </c>
      <c r="L45" s="122">
        <v>90</v>
      </c>
      <c r="M45" s="121">
        <v>1.3200000524520874</v>
      </c>
      <c r="N45" s="121">
        <v>1.9199999570846558</v>
      </c>
      <c r="O45" s="121">
        <v>2.5699999332427979</v>
      </c>
      <c r="P45" s="121">
        <v>3.1700000762939453</v>
      </c>
      <c r="Q45" s="121">
        <v>3.4900000095367432</v>
      </c>
      <c r="R45" s="122">
        <v>34.950000762939453</v>
      </c>
      <c r="S45" s="122">
        <v>51.669998168945313</v>
      </c>
      <c r="T45" s="122">
        <v>70.129997253417969</v>
      </c>
      <c r="U45" s="122">
        <v>80</v>
      </c>
      <c r="V45" s="123">
        <v>84.19000244140625</v>
      </c>
    </row>
    <row r="46" spans="2:22" x14ac:dyDescent="0.2">
      <c r="B46" s="143">
        <v>2020</v>
      </c>
      <c r="C46" s="121">
        <v>2.2400000095367432</v>
      </c>
      <c r="D46" s="121">
        <v>2.7799999713897705</v>
      </c>
      <c r="E46" s="121">
        <v>3.2699999809265137</v>
      </c>
      <c r="F46" s="121">
        <v>3.4900000095367432</v>
      </c>
      <c r="G46" s="121">
        <v>3.5</v>
      </c>
      <c r="H46" s="122">
        <v>64.910003662109375</v>
      </c>
      <c r="I46" s="122">
        <v>77.779998779296875</v>
      </c>
      <c r="J46" s="122">
        <v>88</v>
      </c>
      <c r="K46" s="122">
        <v>90</v>
      </c>
      <c r="L46" s="122">
        <v>90</v>
      </c>
      <c r="M46" s="121">
        <v>1.3700000047683716</v>
      </c>
      <c r="N46" s="121">
        <v>1.9500000476837158</v>
      </c>
      <c r="O46" s="121">
        <v>2.5899999141693115</v>
      </c>
      <c r="P46" s="121">
        <v>3.1800000667572021</v>
      </c>
      <c r="Q46" s="121">
        <v>3.4900000095367432</v>
      </c>
      <c r="R46" s="122">
        <v>35.900001525878906</v>
      </c>
      <c r="S46" s="122">
        <v>52.189998626708984</v>
      </c>
      <c r="T46" s="122">
        <v>70</v>
      </c>
      <c r="U46" s="122">
        <v>80</v>
      </c>
      <c r="V46" s="123">
        <v>80</v>
      </c>
    </row>
    <row r="47" spans="2:22" x14ac:dyDescent="0.2">
      <c r="B47" s="143">
        <v>2021</v>
      </c>
      <c r="C47" s="121">
        <v>2.3299999237060547</v>
      </c>
      <c r="D47" s="121">
        <v>2.869999885559082</v>
      </c>
      <c r="E47" s="121">
        <v>3.3399999141693115</v>
      </c>
      <c r="F47" s="121">
        <v>3.5</v>
      </c>
      <c r="G47" s="121">
        <v>3.630000114440918</v>
      </c>
      <c r="H47" s="122">
        <v>62.060001373291016</v>
      </c>
      <c r="I47" s="122">
        <v>75.55999755859375</v>
      </c>
      <c r="J47" s="122">
        <v>85.620002746582031</v>
      </c>
      <c r="K47" s="122">
        <v>90</v>
      </c>
      <c r="L47" s="122">
        <v>90</v>
      </c>
      <c r="M47" s="121">
        <v>1.4299999475479126</v>
      </c>
      <c r="N47" s="121">
        <v>2.0099999904632568</v>
      </c>
      <c r="O47" s="121">
        <v>2.6600000858306885</v>
      </c>
      <c r="P47" s="121">
        <v>3.2400000095367432</v>
      </c>
      <c r="Q47" s="121">
        <v>3.4900000095367432</v>
      </c>
      <c r="R47" s="122">
        <v>35.689998626708984</v>
      </c>
      <c r="S47" s="122">
        <v>50.849998474121094</v>
      </c>
      <c r="T47" s="122">
        <v>68.139999389648438</v>
      </c>
      <c r="U47" s="122">
        <v>79.480003356933594</v>
      </c>
      <c r="V47" s="123">
        <v>80</v>
      </c>
    </row>
    <row r="48" spans="2:22" x14ac:dyDescent="0.2">
      <c r="B48" s="143">
        <v>2022</v>
      </c>
      <c r="C48" s="121">
        <v>2.3900001049041748</v>
      </c>
      <c r="D48" s="121">
        <v>2.9200000762939453</v>
      </c>
      <c r="E48" s="121">
        <v>3.3599998950958252</v>
      </c>
      <c r="F48" s="121">
        <v>3.5</v>
      </c>
      <c r="G48" s="121">
        <v>3.7999999523162842</v>
      </c>
      <c r="H48" s="122">
        <v>61.200000762939453</v>
      </c>
      <c r="I48" s="122">
        <v>75</v>
      </c>
      <c r="J48" s="122">
        <v>85.569999694824219</v>
      </c>
      <c r="K48" s="122">
        <v>90</v>
      </c>
      <c r="L48" s="122">
        <v>90</v>
      </c>
      <c r="M48" s="121">
        <v>1.5199999809265137</v>
      </c>
      <c r="N48" s="121">
        <v>2.1400001049041748</v>
      </c>
      <c r="O48" s="121">
        <v>2.8199999332427979</v>
      </c>
      <c r="P48" s="121">
        <v>3.3399999141693115</v>
      </c>
      <c r="Q48" s="121">
        <v>3.5</v>
      </c>
      <c r="R48" s="122">
        <v>35.840000152587891</v>
      </c>
      <c r="S48" s="122">
        <v>51.090000152587891</v>
      </c>
      <c r="T48" s="122">
        <v>68.180000305175781</v>
      </c>
      <c r="U48" s="122">
        <v>79.900001525878906</v>
      </c>
      <c r="V48" s="123">
        <v>80</v>
      </c>
    </row>
    <row r="49" spans="2:22" x14ac:dyDescent="0.2">
      <c r="B49" s="143">
        <v>2023</v>
      </c>
      <c r="C49" s="121">
        <v>2.38</v>
      </c>
      <c r="D49" s="121">
        <v>2.95</v>
      </c>
      <c r="E49" s="121">
        <v>3.44</v>
      </c>
      <c r="F49" s="121">
        <v>3.83</v>
      </c>
      <c r="G49" s="121">
        <v>4</v>
      </c>
      <c r="H49" s="122">
        <v>60.33</v>
      </c>
      <c r="I49" s="122">
        <v>74.349999999999994</v>
      </c>
      <c r="J49" s="122">
        <v>85.87</v>
      </c>
      <c r="K49" s="122">
        <v>90</v>
      </c>
      <c r="L49" s="122">
        <v>90</v>
      </c>
      <c r="M49" s="121">
        <v>1.52</v>
      </c>
      <c r="N49" s="121">
        <v>2.12</v>
      </c>
      <c r="O49" s="121">
        <v>2.78</v>
      </c>
      <c r="P49" s="121">
        <v>3.33</v>
      </c>
      <c r="Q49" s="121">
        <v>3.5</v>
      </c>
      <c r="R49" s="122">
        <v>35.56</v>
      </c>
      <c r="S49" s="122">
        <v>50.63</v>
      </c>
      <c r="T49" s="122">
        <v>67.56</v>
      </c>
      <c r="U49" s="122">
        <v>80</v>
      </c>
      <c r="V49" s="123">
        <v>89.86</v>
      </c>
    </row>
    <row r="50" spans="2:22" ht="12.75" thickBot="1" x14ac:dyDescent="0.25">
      <c r="B50" s="144" t="s">
        <v>184</v>
      </c>
      <c r="C50" s="145">
        <v>2.38</v>
      </c>
      <c r="D50" s="145">
        <v>2.96</v>
      </c>
      <c r="E50" s="145">
        <v>3.5</v>
      </c>
      <c r="F50" s="145">
        <v>3.92</v>
      </c>
      <c r="G50" s="145">
        <v>4</v>
      </c>
      <c r="H50" s="146">
        <v>59.52</v>
      </c>
      <c r="I50" s="146">
        <v>73.19</v>
      </c>
      <c r="J50" s="146">
        <v>85</v>
      </c>
      <c r="K50" s="146">
        <v>90</v>
      </c>
      <c r="L50" s="146">
        <v>90</v>
      </c>
      <c r="M50" s="145">
        <v>1.48</v>
      </c>
      <c r="N50" s="145">
        <v>2.0699999999999998</v>
      </c>
      <c r="O50" s="145">
        <v>2.73</v>
      </c>
      <c r="P50" s="145">
        <v>3.29</v>
      </c>
      <c r="Q50" s="145">
        <v>3.5</v>
      </c>
      <c r="R50" s="146">
        <v>34.71</v>
      </c>
      <c r="S50" s="146">
        <v>49.8</v>
      </c>
      <c r="T50" s="146">
        <v>66.67</v>
      </c>
      <c r="U50" s="146">
        <v>80</v>
      </c>
      <c r="V50" s="147">
        <v>90</v>
      </c>
    </row>
    <row r="51" spans="2:22" x14ac:dyDescent="0.2">
      <c r="C51" s="124" t="s">
        <v>198</v>
      </c>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8">
    <mergeCell ref="I3:N3"/>
    <mergeCell ref="P3:U3"/>
    <mergeCell ref="W3:AB3"/>
    <mergeCell ref="R30:V30"/>
    <mergeCell ref="C30:G30"/>
    <mergeCell ref="M30:Q30"/>
    <mergeCell ref="H30:L30"/>
    <mergeCell ref="B3:G3"/>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pageSetUpPr autoPageBreaks="0"/>
  </sheetPr>
  <dimension ref="A1:E40"/>
  <sheetViews>
    <sheetView zoomScaleNormal="100" workbookViewId="0"/>
  </sheetViews>
  <sheetFormatPr defaultColWidth="9.109375" defaultRowHeight="12" x14ac:dyDescent="0.2"/>
  <cols>
    <col min="1" max="1" width="9.109375" style="81"/>
    <col min="2" max="2" width="41.44140625" style="81" customWidth="1"/>
    <col min="3" max="3" width="18.6640625" style="81" customWidth="1"/>
    <col min="4" max="4" width="20.109375" style="81" customWidth="1"/>
    <col min="5" max="16384" width="9.109375" style="81"/>
  </cols>
  <sheetData>
    <row r="1" spans="1:5" x14ac:dyDescent="0.2">
      <c r="A1" s="125"/>
    </row>
    <row r="2" spans="1:5" ht="12.75" thickBot="1" x14ac:dyDescent="0.25"/>
    <row r="3" spans="1:5" ht="15" customHeight="1" thickBot="1" x14ac:dyDescent="0.25">
      <c r="B3" s="174" t="s">
        <v>195</v>
      </c>
      <c r="C3" s="175"/>
      <c r="D3" s="176"/>
    </row>
    <row r="4" spans="1:5" ht="15" customHeight="1" thickBot="1" x14ac:dyDescent="0.25">
      <c r="B4" s="61"/>
      <c r="C4" s="62" t="s">
        <v>49</v>
      </c>
      <c r="D4" s="62" t="s">
        <v>50</v>
      </c>
    </row>
    <row r="5" spans="1:5" ht="14.1" customHeight="1" x14ac:dyDescent="0.2">
      <c r="B5" s="126" t="s">
        <v>52</v>
      </c>
      <c r="C5" s="55"/>
      <c r="D5" s="55"/>
    </row>
    <row r="6" spans="1:5" ht="14.45" customHeight="1" x14ac:dyDescent="0.2">
      <c r="B6" s="69" t="s">
        <v>38</v>
      </c>
      <c r="C6" s="88"/>
      <c r="D6" s="88"/>
    </row>
    <row r="7" spans="1:5" ht="13.7" customHeight="1" x14ac:dyDescent="0.2">
      <c r="B7" s="65" t="s">
        <v>26</v>
      </c>
      <c r="C7" s="56">
        <v>291607.46999999997</v>
      </c>
      <c r="D7" s="56">
        <v>367834.51</v>
      </c>
      <c r="E7" s="95"/>
    </row>
    <row r="8" spans="1:5" x14ac:dyDescent="0.2">
      <c r="B8" s="65" t="s">
        <v>27</v>
      </c>
      <c r="C8" s="56">
        <v>370830.75</v>
      </c>
      <c r="D8" s="56">
        <v>455209.8</v>
      </c>
      <c r="E8" s="95"/>
    </row>
    <row r="9" spans="1:5" x14ac:dyDescent="0.2">
      <c r="B9" s="65" t="s">
        <v>28</v>
      </c>
      <c r="C9" s="110">
        <v>79.592142999999993</v>
      </c>
      <c r="D9" s="110">
        <v>81.863944000000004</v>
      </c>
      <c r="E9" s="95"/>
    </row>
    <row r="10" spans="1:5" x14ac:dyDescent="0.2">
      <c r="B10" s="65" t="s">
        <v>29</v>
      </c>
      <c r="C10" s="56">
        <v>90270.233999999997</v>
      </c>
      <c r="D10" s="56">
        <v>84076.448999999993</v>
      </c>
      <c r="E10" s="95"/>
    </row>
    <row r="11" spans="1:5" x14ac:dyDescent="0.2">
      <c r="B11" s="65" t="s">
        <v>30</v>
      </c>
      <c r="C11" s="110">
        <v>3.320363</v>
      </c>
      <c r="D11" s="110">
        <v>4.3991454000000001</v>
      </c>
      <c r="E11" s="95"/>
    </row>
    <row r="12" spans="1:5" x14ac:dyDescent="0.2">
      <c r="B12" s="65" t="s">
        <v>31</v>
      </c>
      <c r="C12" s="56">
        <v>29.302622</v>
      </c>
      <c r="D12" s="56">
        <v>32.705207999999999</v>
      </c>
      <c r="E12" s="95"/>
    </row>
    <row r="13" spans="1:5" x14ac:dyDescent="0.2">
      <c r="B13" s="65" t="s">
        <v>33</v>
      </c>
      <c r="C13" s="110">
        <v>4.1522895000000002</v>
      </c>
      <c r="D13" s="110">
        <v>4.1149012000000003</v>
      </c>
      <c r="E13" s="95"/>
    </row>
    <row r="14" spans="1:5" x14ac:dyDescent="0.2">
      <c r="B14" s="69" t="s">
        <v>37</v>
      </c>
      <c r="C14" s="110"/>
      <c r="D14" s="110"/>
      <c r="E14" s="95"/>
    </row>
    <row r="15" spans="1:5" x14ac:dyDescent="0.2">
      <c r="B15" s="65" t="s">
        <v>39</v>
      </c>
      <c r="C15" s="56">
        <v>35.907111</v>
      </c>
      <c r="D15" s="56">
        <v>33.091667000000001</v>
      </c>
      <c r="E15" s="95"/>
    </row>
    <row r="16" spans="1:5" x14ac:dyDescent="0.2">
      <c r="B16" s="65" t="s">
        <v>40</v>
      </c>
      <c r="C16" s="110">
        <v>69.869860000000003</v>
      </c>
      <c r="D16" s="110">
        <v>51.875</v>
      </c>
      <c r="E16" s="127"/>
    </row>
    <row r="17" spans="2:5" x14ac:dyDescent="0.2">
      <c r="B17" s="65" t="s">
        <v>48</v>
      </c>
      <c r="C17" s="110">
        <v>42.417954999999999</v>
      </c>
      <c r="D17" s="110">
        <v>35.208333000000003</v>
      </c>
      <c r="E17" s="95"/>
    </row>
    <row r="18" spans="2:5" x14ac:dyDescent="0.2">
      <c r="B18" s="65" t="s">
        <v>41</v>
      </c>
      <c r="C18" s="110">
        <v>94.879290999999995</v>
      </c>
      <c r="D18" s="110">
        <v>95.833332999999996</v>
      </c>
      <c r="E18" s="95"/>
    </row>
    <row r="19" spans="2:5" x14ac:dyDescent="0.2">
      <c r="B19" s="65" t="s">
        <v>51</v>
      </c>
      <c r="C19" s="110">
        <v>28.159185000000001</v>
      </c>
      <c r="D19" s="110">
        <v>60</v>
      </c>
      <c r="E19" s="95"/>
    </row>
    <row r="20" spans="2:5" x14ac:dyDescent="0.2">
      <c r="B20" s="128" t="s">
        <v>53</v>
      </c>
      <c r="C20" s="110"/>
      <c r="D20" s="110"/>
      <c r="E20" s="95"/>
    </row>
    <row r="21" spans="2:5" x14ac:dyDescent="0.2">
      <c r="B21" s="69" t="s">
        <v>38</v>
      </c>
      <c r="C21" s="110"/>
      <c r="D21" s="110"/>
      <c r="E21" s="95"/>
    </row>
    <row r="22" spans="2:5" x14ac:dyDescent="0.2">
      <c r="B22" s="65" t="s">
        <v>26</v>
      </c>
      <c r="C22" s="56">
        <v>335251.14</v>
      </c>
      <c r="D22" s="56">
        <v>500579.93</v>
      </c>
      <c r="E22" s="95"/>
    </row>
    <row r="23" spans="2:5" x14ac:dyDescent="0.2">
      <c r="B23" s="65" t="s">
        <v>27</v>
      </c>
      <c r="C23" s="56">
        <v>537198.36</v>
      </c>
      <c r="D23" s="56">
        <v>689543</v>
      </c>
      <c r="E23" s="95"/>
    </row>
    <row r="24" spans="2:5" x14ac:dyDescent="0.2">
      <c r="B24" s="65" t="s">
        <v>28</v>
      </c>
      <c r="C24" s="110">
        <v>65.297388999999995</v>
      </c>
      <c r="D24" s="110">
        <v>75.506024999999994</v>
      </c>
      <c r="E24" s="95"/>
    </row>
    <row r="25" spans="2:5" x14ac:dyDescent="0.2">
      <c r="B25" s="65" t="s">
        <v>29</v>
      </c>
      <c r="C25" s="56">
        <v>135431.22</v>
      </c>
      <c r="D25" s="56">
        <v>128505.34</v>
      </c>
      <c r="E25" s="95"/>
    </row>
    <row r="26" spans="2:5" x14ac:dyDescent="0.2">
      <c r="B26" s="65" t="s">
        <v>30</v>
      </c>
      <c r="C26" s="110">
        <v>2.5903768</v>
      </c>
      <c r="D26" s="110">
        <v>3.9468179000000001</v>
      </c>
      <c r="E26" s="95"/>
    </row>
    <row r="27" spans="2:5" x14ac:dyDescent="0.2">
      <c r="B27" s="65" t="s">
        <v>31</v>
      </c>
      <c r="C27" s="56">
        <v>23.862522999999999</v>
      </c>
      <c r="D27" s="56">
        <v>29.329511</v>
      </c>
      <c r="E27" s="95"/>
    </row>
    <row r="28" spans="2:5" x14ac:dyDescent="0.2">
      <c r="B28" s="65" t="s">
        <v>33</v>
      </c>
      <c r="C28" s="110">
        <v>4.1044945000000004</v>
      </c>
      <c r="D28" s="110">
        <v>4.0658991000000002</v>
      </c>
      <c r="E28" s="95"/>
    </row>
    <row r="29" spans="2:5" x14ac:dyDescent="0.2">
      <c r="B29" s="69" t="s">
        <v>37</v>
      </c>
      <c r="C29" s="110"/>
      <c r="D29" s="110"/>
      <c r="E29" s="95"/>
    </row>
    <row r="30" spans="2:5" x14ac:dyDescent="0.2">
      <c r="B30" s="65" t="s">
        <v>39</v>
      </c>
      <c r="C30" s="56">
        <v>42.966886000000002</v>
      </c>
      <c r="D30" s="56">
        <v>38.587156</v>
      </c>
      <c r="E30" s="95"/>
    </row>
    <row r="31" spans="2:5" x14ac:dyDescent="0.2">
      <c r="B31" s="65" t="s">
        <v>40</v>
      </c>
      <c r="C31" s="110">
        <v>77.961747000000003</v>
      </c>
      <c r="D31" s="110">
        <v>79.816513999999998</v>
      </c>
      <c r="E31" s="95"/>
    </row>
    <row r="32" spans="2:5" x14ac:dyDescent="0.2">
      <c r="B32" s="65" t="s">
        <v>48</v>
      </c>
      <c r="C32" s="110">
        <v>35.169854000000001</v>
      </c>
      <c r="D32" s="110">
        <v>34.862385000000003</v>
      </c>
      <c r="E32" s="95"/>
    </row>
    <row r="33" spans="2:5" x14ac:dyDescent="0.2">
      <c r="B33" s="65" t="s">
        <v>41</v>
      </c>
      <c r="C33" s="110">
        <v>89.666000999999994</v>
      </c>
      <c r="D33" s="110">
        <v>91.284403999999995</v>
      </c>
      <c r="E33" s="95"/>
    </row>
    <row r="34" spans="2:5" ht="12.75" thickBot="1" x14ac:dyDescent="0.25">
      <c r="B34" s="65" t="s">
        <v>51</v>
      </c>
      <c r="C34" s="110">
        <v>35.940621999999998</v>
      </c>
      <c r="D34" s="110">
        <v>63.302751999999998</v>
      </c>
      <c r="E34" s="95"/>
    </row>
    <row r="35" spans="2:5" ht="12.75" thickBot="1" x14ac:dyDescent="0.25">
      <c r="B35" s="129" t="s">
        <v>197</v>
      </c>
      <c r="C35" s="130"/>
      <c r="D35" s="131"/>
    </row>
    <row r="40" spans="2:5" x14ac:dyDescent="0.2">
      <c r="C40" s="132"/>
    </row>
  </sheetData>
  <customSheetViews>
    <customSheetView guid="{41816220-B35C-45A9-9EE2-EC676D322318}" topLeftCell="E1">
      <selection activeCell="G3" sqref="G3:J34"/>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D3"/>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5"/>
    <pageSetUpPr autoPageBreaks="0"/>
  </sheetPr>
  <dimension ref="A1:W25"/>
  <sheetViews>
    <sheetView zoomScaleNormal="100" workbookViewId="0"/>
  </sheetViews>
  <sheetFormatPr defaultColWidth="9.109375" defaultRowHeight="12" x14ac:dyDescent="0.2"/>
  <cols>
    <col min="1" max="16384" width="9.109375" style="81"/>
  </cols>
  <sheetData>
    <row r="1" spans="1:23" x14ac:dyDescent="0.2">
      <c r="A1" s="125"/>
    </row>
    <row r="2" spans="1:23" ht="12.75" thickBot="1" x14ac:dyDescent="0.25">
      <c r="S2" s="82"/>
      <c r="T2" s="82"/>
      <c r="U2" s="82"/>
      <c r="V2" s="82"/>
      <c r="W2" s="82"/>
    </row>
    <row r="3" spans="1:23" ht="12.75" thickBot="1" x14ac:dyDescent="0.25">
      <c r="B3" s="174" t="s">
        <v>182</v>
      </c>
      <c r="C3" s="175"/>
      <c r="D3" s="175"/>
      <c r="E3" s="175"/>
      <c r="F3" s="175"/>
      <c r="G3" s="175"/>
      <c r="H3" s="175"/>
      <c r="I3" s="175"/>
      <c r="J3" s="175"/>
      <c r="K3" s="175"/>
      <c r="L3" s="175"/>
      <c r="M3" s="175"/>
      <c r="N3" s="175"/>
      <c r="O3" s="175"/>
      <c r="P3" s="175"/>
      <c r="Q3" s="176"/>
      <c r="S3" s="82"/>
      <c r="T3" s="82"/>
      <c r="U3" s="82"/>
      <c r="V3" s="82"/>
      <c r="W3" s="82"/>
    </row>
    <row r="4" spans="1:23" ht="12.75" thickBot="1" x14ac:dyDescent="0.25">
      <c r="B4" s="174" t="s">
        <v>52</v>
      </c>
      <c r="C4" s="175"/>
      <c r="D4" s="175"/>
      <c r="E4" s="175"/>
      <c r="F4" s="175"/>
      <c r="G4" s="175"/>
      <c r="H4" s="175"/>
      <c r="I4" s="176"/>
      <c r="J4" s="174" t="s">
        <v>53</v>
      </c>
      <c r="K4" s="175"/>
      <c r="L4" s="175"/>
      <c r="M4" s="175"/>
      <c r="N4" s="175"/>
      <c r="O4" s="175"/>
      <c r="P4" s="175"/>
      <c r="Q4" s="176"/>
      <c r="S4" s="82"/>
      <c r="T4" s="82"/>
      <c r="U4" s="82"/>
      <c r="V4" s="82"/>
      <c r="W4" s="82"/>
    </row>
    <row r="5" spans="1:23" x14ac:dyDescent="0.2">
      <c r="B5" s="61"/>
      <c r="C5" s="71"/>
      <c r="D5" s="71"/>
      <c r="E5" s="71"/>
      <c r="F5" s="71"/>
      <c r="G5" s="71"/>
      <c r="H5" s="71"/>
      <c r="I5" s="72"/>
      <c r="J5" s="61"/>
      <c r="K5" s="71"/>
      <c r="L5" s="71"/>
      <c r="M5" s="71"/>
      <c r="N5" s="71"/>
      <c r="O5" s="71"/>
      <c r="P5" s="71"/>
      <c r="Q5" s="72"/>
      <c r="S5" s="82"/>
      <c r="T5" s="82"/>
      <c r="U5" s="82"/>
      <c r="V5" s="82"/>
      <c r="W5" s="82"/>
    </row>
    <row r="6" spans="1:23" x14ac:dyDescent="0.2">
      <c r="B6" s="65"/>
      <c r="C6" s="83"/>
      <c r="D6" s="83"/>
      <c r="E6" s="83"/>
      <c r="F6" s="83"/>
      <c r="G6" s="83"/>
      <c r="H6" s="83"/>
      <c r="I6" s="84"/>
      <c r="J6" s="65"/>
      <c r="K6" s="83"/>
      <c r="L6" s="83"/>
      <c r="M6" s="83"/>
      <c r="N6" s="83"/>
      <c r="O6" s="83"/>
      <c r="P6" s="83"/>
      <c r="Q6" s="84"/>
      <c r="S6" s="82"/>
      <c r="T6" s="82"/>
      <c r="U6" s="82"/>
      <c r="V6" s="82"/>
      <c r="W6" s="82"/>
    </row>
    <row r="7" spans="1:23" x14ac:dyDescent="0.2">
      <c r="B7" s="65"/>
      <c r="C7" s="83"/>
      <c r="D7" s="83"/>
      <c r="E7" s="83"/>
      <c r="F7" s="83"/>
      <c r="G7" s="83"/>
      <c r="H7" s="83"/>
      <c r="I7" s="84"/>
      <c r="J7" s="65"/>
      <c r="K7" s="83"/>
      <c r="L7" s="83"/>
      <c r="M7" s="83"/>
      <c r="N7" s="83"/>
      <c r="O7" s="83"/>
      <c r="P7" s="83"/>
      <c r="Q7" s="84"/>
      <c r="S7" s="82"/>
      <c r="T7" s="82"/>
      <c r="U7" s="82"/>
      <c r="V7" s="82"/>
      <c r="W7" s="82"/>
    </row>
    <row r="8" spans="1:23" x14ac:dyDescent="0.2">
      <c r="B8" s="65"/>
      <c r="C8" s="83"/>
      <c r="D8" s="83"/>
      <c r="E8" s="83"/>
      <c r="F8" s="83"/>
      <c r="G8" s="83"/>
      <c r="H8" s="83"/>
      <c r="I8" s="84"/>
      <c r="J8" s="65"/>
      <c r="K8" s="83"/>
      <c r="L8" s="83"/>
      <c r="M8" s="83"/>
      <c r="N8" s="83"/>
      <c r="O8" s="83"/>
      <c r="P8" s="83"/>
      <c r="Q8" s="84"/>
      <c r="S8" s="82"/>
      <c r="T8" s="82"/>
      <c r="U8" s="82"/>
      <c r="V8" s="82"/>
      <c r="W8" s="82"/>
    </row>
    <row r="9" spans="1:23" x14ac:dyDescent="0.2">
      <c r="B9" s="65"/>
      <c r="C9" s="83"/>
      <c r="D9" s="83"/>
      <c r="E9" s="83"/>
      <c r="F9" s="83"/>
      <c r="G9" s="83"/>
      <c r="H9" s="83"/>
      <c r="I9" s="84"/>
      <c r="J9" s="65"/>
      <c r="K9" s="83"/>
      <c r="L9" s="83"/>
      <c r="M9" s="83"/>
      <c r="N9" s="83"/>
      <c r="O9" s="83"/>
      <c r="P9" s="83"/>
      <c r="Q9" s="84"/>
      <c r="S9" s="82"/>
      <c r="T9" s="82"/>
      <c r="U9" s="82"/>
      <c r="V9" s="82"/>
      <c r="W9" s="82"/>
    </row>
    <row r="10" spans="1:23" x14ac:dyDescent="0.2">
      <c r="B10" s="65"/>
      <c r="C10" s="83"/>
      <c r="D10" s="83"/>
      <c r="E10" s="83"/>
      <c r="F10" s="83"/>
      <c r="G10" s="83"/>
      <c r="H10" s="83"/>
      <c r="I10" s="84"/>
      <c r="J10" s="65"/>
      <c r="K10" s="83"/>
      <c r="L10" s="83"/>
      <c r="M10" s="83"/>
      <c r="N10" s="83"/>
      <c r="O10" s="83"/>
      <c r="P10" s="83"/>
      <c r="Q10" s="84"/>
      <c r="S10" s="82"/>
      <c r="T10" s="82"/>
      <c r="U10" s="82"/>
      <c r="V10" s="82"/>
      <c r="W10" s="82"/>
    </row>
    <row r="11" spans="1:23" x14ac:dyDescent="0.2">
      <c r="B11" s="65"/>
      <c r="C11" s="83"/>
      <c r="D11" s="83"/>
      <c r="E11" s="83"/>
      <c r="F11" s="83"/>
      <c r="G11" s="83"/>
      <c r="H11" s="83"/>
      <c r="I11" s="84"/>
      <c r="J11" s="65"/>
      <c r="K11" s="83"/>
      <c r="L11" s="83"/>
      <c r="M11" s="83"/>
      <c r="N11" s="83"/>
      <c r="O11" s="83"/>
      <c r="P11" s="83"/>
      <c r="Q11" s="84"/>
      <c r="S11" s="82"/>
      <c r="T11" s="82"/>
      <c r="U11" s="82"/>
      <c r="V11" s="82"/>
      <c r="W11" s="82"/>
    </row>
    <row r="12" spans="1:23" x14ac:dyDescent="0.2">
      <c r="B12" s="65"/>
      <c r="C12" s="83"/>
      <c r="D12" s="83"/>
      <c r="E12" s="83"/>
      <c r="F12" s="83"/>
      <c r="G12" s="83"/>
      <c r="H12" s="83"/>
      <c r="I12" s="84"/>
      <c r="J12" s="65"/>
      <c r="K12" s="83"/>
      <c r="L12" s="83"/>
      <c r="M12" s="83"/>
      <c r="N12" s="83"/>
      <c r="O12" s="83"/>
      <c r="P12" s="83"/>
      <c r="Q12" s="84"/>
      <c r="S12" s="82"/>
      <c r="T12" s="82"/>
      <c r="U12" s="82"/>
      <c r="V12" s="82"/>
      <c r="W12" s="82"/>
    </row>
    <row r="13" spans="1:23" x14ac:dyDescent="0.2">
      <c r="B13" s="65"/>
      <c r="C13" s="83"/>
      <c r="D13" s="83"/>
      <c r="E13" s="83"/>
      <c r="F13" s="83"/>
      <c r="G13" s="83"/>
      <c r="H13" s="83"/>
      <c r="I13" s="84"/>
      <c r="J13" s="65"/>
      <c r="K13" s="83"/>
      <c r="L13" s="83"/>
      <c r="M13" s="83"/>
      <c r="N13" s="83"/>
      <c r="O13" s="83"/>
      <c r="P13" s="83"/>
      <c r="Q13" s="84"/>
    </row>
    <row r="14" spans="1:23" x14ac:dyDescent="0.2">
      <c r="B14" s="65"/>
      <c r="C14" s="83"/>
      <c r="D14" s="83"/>
      <c r="E14" s="83"/>
      <c r="F14" s="83"/>
      <c r="G14" s="83"/>
      <c r="H14" s="83"/>
      <c r="I14" s="84"/>
      <c r="J14" s="65"/>
      <c r="K14" s="83"/>
      <c r="L14" s="83"/>
      <c r="M14" s="83"/>
      <c r="N14" s="83"/>
      <c r="O14" s="83"/>
      <c r="P14" s="83"/>
      <c r="Q14" s="84"/>
    </row>
    <row r="15" spans="1:23" x14ac:dyDescent="0.2">
      <c r="B15" s="65"/>
      <c r="C15" s="83"/>
      <c r="D15" s="83"/>
      <c r="E15" s="83"/>
      <c r="F15" s="83"/>
      <c r="G15" s="83"/>
      <c r="H15" s="83"/>
      <c r="I15" s="84"/>
      <c r="J15" s="65"/>
      <c r="K15" s="83"/>
      <c r="L15" s="83"/>
      <c r="M15" s="83"/>
      <c r="N15" s="83"/>
      <c r="O15" s="83"/>
      <c r="P15" s="83"/>
      <c r="Q15" s="84"/>
    </row>
    <row r="16" spans="1:23" x14ac:dyDescent="0.2">
      <c r="B16" s="65"/>
      <c r="C16" s="83"/>
      <c r="D16" s="83"/>
      <c r="E16" s="83"/>
      <c r="F16" s="83"/>
      <c r="G16" s="83"/>
      <c r="H16" s="83"/>
      <c r="I16" s="84"/>
      <c r="J16" s="65"/>
      <c r="K16" s="83"/>
      <c r="L16" s="83"/>
      <c r="M16" s="83"/>
      <c r="N16" s="83"/>
      <c r="O16" s="83"/>
      <c r="P16" s="83"/>
      <c r="Q16" s="84"/>
    </row>
    <row r="17" spans="2:17" x14ac:dyDescent="0.2">
      <c r="B17" s="65"/>
      <c r="C17" s="83"/>
      <c r="D17" s="83"/>
      <c r="E17" s="83"/>
      <c r="F17" s="83"/>
      <c r="G17" s="83"/>
      <c r="H17" s="83"/>
      <c r="I17" s="84"/>
      <c r="J17" s="65"/>
      <c r="K17" s="83"/>
      <c r="L17" s="83"/>
      <c r="M17" s="83"/>
      <c r="N17" s="83"/>
      <c r="O17" s="83"/>
      <c r="P17" s="83"/>
      <c r="Q17" s="84"/>
    </row>
    <row r="18" spans="2:17" x14ac:dyDescent="0.2">
      <c r="B18" s="65"/>
      <c r="C18" s="83"/>
      <c r="D18" s="83"/>
      <c r="E18" s="83"/>
      <c r="F18" s="83"/>
      <c r="G18" s="83"/>
      <c r="H18" s="83"/>
      <c r="I18" s="84"/>
      <c r="J18" s="65"/>
      <c r="K18" s="83"/>
      <c r="L18" s="83"/>
      <c r="M18" s="83"/>
      <c r="N18" s="83"/>
      <c r="O18" s="83"/>
      <c r="P18" s="83"/>
      <c r="Q18" s="84"/>
    </row>
    <row r="19" spans="2:17" x14ac:dyDescent="0.2">
      <c r="B19" s="65"/>
      <c r="C19" s="83"/>
      <c r="D19" s="83"/>
      <c r="E19" s="83"/>
      <c r="F19" s="83"/>
      <c r="G19" s="83"/>
      <c r="H19" s="83"/>
      <c r="I19" s="84"/>
      <c r="J19" s="65"/>
      <c r="K19" s="83"/>
      <c r="L19" s="83"/>
      <c r="M19" s="83"/>
      <c r="N19" s="83"/>
      <c r="O19" s="83"/>
      <c r="P19" s="83"/>
      <c r="Q19" s="84"/>
    </row>
    <row r="20" spans="2:17" x14ac:dyDescent="0.2">
      <c r="B20" s="65"/>
      <c r="C20" s="83"/>
      <c r="D20" s="83"/>
      <c r="E20" s="83"/>
      <c r="F20" s="83"/>
      <c r="G20" s="83"/>
      <c r="H20" s="83"/>
      <c r="I20" s="84"/>
      <c r="J20" s="65"/>
      <c r="K20" s="83"/>
      <c r="L20" s="83"/>
      <c r="M20" s="83"/>
      <c r="N20" s="83"/>
      <c r="O20" s="83"/>
      <c r="P20" s="83"/>
      <c r="Q20" s="84"/>
    </row>
    <row r="21" spans="2:17" x14ac:dyDescent="0.2">
      <c r="B21" s="65"/>
      <c r="C21" s="83"/>
      <c r="D21" s="83"/>
      <c r="E21" s="83"/>
      <c r="F21" s="83"/>
      <c r="G21" s="83"/>
      <c r="H21" s="83"/>
      <c r="I21" s="84"/>
      <c r="J21" s="65"/>
      <c r="K21" s="83"/>
      <c r="L21" s="83"/>
      <c r="M21" s="83"/>
      <c r="N21" s="83"/>
      <c r="O21" s="83"/>
      <c r="P21" s="83"/>
      <c r="Q21" s="84"/>
    </row>
    <row r="22" spans="2:17" x14ac:dyDescent="0.2">
      <c r="B22" s="65"/>
      <c r="C22" s="83"/>
      <c r="D22" s="83"/>
      <c r="E22" s="83"/>
      <c r="F22" s="83"/>
      <c r="G22" s="83"/>
      <c r="H22" s="83"/>
      <c r="I22" s="84"/>
      <c r="J22" s="65"/>
      <c r="K22" s="83"/>
      <c r="L22" s="83"/>
      <c r="M22" s="83"/>
      <c r="N22" s="83"/>
      <c r="O22" s="83"/>
      <c r="P22" s="83"/>
      <c r="Q22" s="84"/>
    </row>
    <row r="23" spans="2:17" x14ac:dyDescent="0.2">
      <c r="B23" s="65"/>
      <c r="C23" s="83"/>
      <c r="D23" s="83"/>
      <c r="E23" s="83"/>
      <c r="F23" s="83"/>
      <c r="G23" s="83"/>
      <c r="H23" s="83"/>
      <c r="I23" s="84"/>
      <c r="J23" s="65"/>
      <c r="K23" s="83"/>
      <c r="L23" s="83"/>
      <c r="M23" s="83"/>
      <c r="N23" s="83"/>
      <c r="O23" s="83"/>
      <c r="P23" s="83"/>
      <c r="Q23" s="84"/>
    </row>
    <row r="24" spans="2:17" ht="12.75" thickBot="1" x14ac:dyDescent="0.25">
      <c r="B24" s="114"/>
      <c r="C24" s="74"/>
      <c r="D24" s="74"/>
      <c r="E24" s="74"/>
      <c r="F24" s="74"/>
      <c r="G24" s="74"/>
      <c r="H24" s="74"/>
      <c r="I24" s="75"/>
      <c r="J24" s="114"/>
      <c r="K24" s="74"/>
      <c r="L24" s="74"/>
      <c r="M24" s="74"/>
      <c r="N24" s="74"/>
      <c r="O24" s="74"/>
      <c r="P24" s="74"/>
      <c r="Q24" s="75"/>
    </row>
    <row r="25" spans="2:17" s="82" customFormat="1" ht="15.75" customHeight="1" thickBot="1" x14ac:dyDescent="0.25">
      <c r="B25" s="196" t="s">
        <v>196</v>
      </c>
      <c r="C25" s="197"/>
      <c r="D25" s="197"/>
      <c r="E25" s="197"/>
      <c r="F25" s="197"/>
      <c r="G25" s="197"/>
      <c r="H25" s="197"/>
      <c r="I25" s="197"/>
      <c r="J25" s="197"/>
      <c r="K25" s="197"/>
      <c r="L25" s="197"/>
      <c r="M25" s="197"/>
      <c r="N25" s="197"/>
      <c r="O25" s="197"/>
      <c r="P25" s="197"/>
      <c r="Q25" s="198"/>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Q3"/>
    <mergeCell ref="B4:I4"/>
    <mergeCell ref="J4:Q4"/>
    <mergeCell ref="B25:Q25"/>
  </mergeCells>
  <pageMargins left="0.7" right="0.7" top="0.75" bottom="0.75" header="0.3" footer="0.3"/>
  <pageSetup paperSize="9" orientation="portrait" r:id="rId2"/>
  <headerFooter>
    <oddHeader>&amp;L&amp;"Times New Roman,Regular"&amp;12&amp;K000000 </oddHeader>
    <evenHeader>&amp;L&amp;"Times New Roman,Regular"&amp;12&amp;K000000 </evenHeader>
    <firstHeader>&amp;L&amp;"Times New Roman,Regular"&amp;12&amp;K000000 </firstHead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element uid="28c775dd-3fa7-40f2-8368-0e7fa48abc25" value=""/>
</sisl>
</file>

<file path=customXml/itemProps1.xml><?xml version="1.0" encoding="utf-8"?>
<ds:datastoreItem xmlns:ds="http://schemas.openxmlformats.org/officeDocument/2006/customXml" ds:itemID="{5782B482-C77A-4071-881D-33DF58BC401A}">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Summary</vt:lpstr>
      <vt:lpstr>The Mortgage Measures Framework</vt:lpstr>
      <vt:lpstr>New Lending Overview </vt:lpstr>
      <vt:lpstr>Volume and Value by Month</vt:lpstr>
      <vt:lpstr>FTB Lending</vt:lpstr>
      <vt:lpstr>FTB LTV and LTI Distributions</vt:lpstr>
      <vt:lpstr>SSB Lending</vt:lpstr>
      <vt:lpstr>SSB LTV and LTI Distribution</vt:lpstr>
      <vt:lpstr>BTL Lending</vt:lpstr>
      <vt:lpstr>Trend over time in LTV and LTI</vt:lpstr>
      <vt:lpstr>LTI Allowances</vt:lpstr>
      <vt:lpstr>Allocation of Allowances Chart </vt:lpstr>
      <vt:lpstr>Summary!Print_Area</vt:lpstr>
    </vt:vector>
  </TitlesOfParts>
  <Company>Central Bank of Ireland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Mortgage Lending Data H1 2024</dc:title>
  <dc:creator>Kinghan, Christina</dc:creator>
  <cp:keywords>Public</cp:keywords>
  <cp:lastModifiedBy>Central Bank of Ireland</cp:lastModifiedBy>
  <cp:lastPrinted>2019-04-30T08:27:56Z</cp:lastPrinted>
  <dcterms:created xsi:type="dcterms:W3CDTF">2019-03-15T16:43:56Z</dcterms:created>
  <dcterms:modified xsi:type="dcterms:W3CDTF">2024-12-03T10:46:33Z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5d5f015a-d246-4ae5-a6fd-470cc3207a70</vt:lpwstr>
  </property>
  <property fmtid="{D5CDD505-2E9C-101B-9397-08002B2CF9AE}" pid="3" name="bjSaver">
    <vt:lpwstr>OrMeIvinxZtAeEVmIdCGMvkUevMCV6SW</vt:lpwstr>
  </property>
  <property fmtid="{D5CDD505-2E9C-101B-9397-08002B2CF9AE}" pid="4" name="_AdHocReviewCycleID">
    <vt:i4>36621721</vt:i4>
  </property>
  <property fmtid="{D5CDD505-2E9C-101B-9397-08002B2CF9AE}" pid="5" name="_NewReviewCycle">
    <vt:lpwstr/>
  </property>
  <property fmtid="{D5CDD505-2E9C-101B-9397-08002B2CF9AE}" pid="6" name="_EmailSubject">
    <vt:lpwstr>Excel File for New Lending 2024H1</vt:lpwstr>
  </property>
  <property fmtid="{D5CDD505-2E9C-101B-9397-08002B2CF9AE}" pid="7" name="_AuthorEmail">
    <vt:lpwstr>neil.mcknight@centralbank.ie</vt:lpwstr>
  </property>
  <property fmtid="{D5CDD505-2E9C-101B-9397-08002B2CF9AE}" pid="8" name="_AuthorEmailDisplayName">
    <vt:lpwstr>Mc Knight, Neil</vt:lpwstr>
  </property>
  <property fmtid="{D5CDD505-2E9C-101B-9397-08002B2CF9AE}" pid="9" name="{A44787D4-0540-4523-9961-78E4036D8C6D}">
    <vt:lpwstr>{058DA443-86F1-41AF-B498-6B193D5213F0}</vt:lpwstr>
  </property>
  <property fmtid="{D5CDD505-2E9C-101B-9397-08002B2CF9AE}" pid="10" name="bjClsUserRVM">
    <vt:lpwstr>[]</vt:lpwstr>
  </property>
  <property fmtid="{D5CDD505-2E9C-101B-9397-08002B2CF9AE}" pid="11" name="_PreviousAdHocReviewCycleID">
    <vt:i4>722752089</vt:i4>
  </property>
  <property fmtid="{D5CDD505-2E9C-101B-9397-08002B2CF9AE}" pid="12" name="_ReviewingToolsShownOnce">
    <vt:lpwstr/>
  </property>
  <property fmtid="{D5CDD505-2E9C-101B-9397-08002B2CF9AE}" pid="13" name="bjDocumentSecurityLabel">
    <vt:lpwstr>Public</vt:lpwstr>
  </property>
  <property fmtid="{D5CDD505-2E9C-101B-9397-08002B2CF9AE}" pid="14"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15" name="bjDocumentLabelXML-0">
    <vt:lpwstr>ames.com/2008/01/sie/internal/label"&gt;&lt;element uid="33ed6465-8d2f-4fab-bbbc-787e2c148707" value="" /&gt;&lt;element uid="28c775dd-3fa7-40f2-8368-0e7fa48abc25" value="" /&gt;&lt;/sisl&gt;</vt:lpwstr>
  </property>
  <property fmtid="{D5CDD505-2E9C-101B-9397-08002B2CF9AE}" pid="16" name="bjLeftHeaderLabel-first">
    <vt:lpwstr>&amp;"Times New Roman,Regular"&amp;12&amp;K000000 </vt:lpwstr>
  </property>
  <property fmtid="{D5CDD505-2E9C-101B-9397-08002B2CF9AE}" pid="17" name="bjLeftHeaderLabel-even">
    <vt:lpwstr>&amp;"Times New Roman,Regular"&amp;12&amp;K000000 </vt:lpwstr>
  </property>
  <property fmtid="{D5CDD505-2E9C-101B-9397-08002B2CF9AE}" pid="18" name="bjLeftHeaderLabel">
    <vt:lpwstr>&amp;"Times New Roman,Regular"&amp;12&amp;K000000 </vt:lpwstr>
  </property>
</Properties>
</file>